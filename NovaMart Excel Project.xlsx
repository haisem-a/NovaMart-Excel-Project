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 defaultThemeVersion="166925"/>
  <xr:revisionPtr revIDLastSave="1560" documentId="11_E60897F41BE170836B02CE998F75CCDC64E183C8" xr6:coauthVersionLast="47" xr6:coauthVersionMax="47" xr10:uidLastSave="{275D634C-77B6-4247-B3B6-222B364490CD}"/>
  <bookViews>
    <workbookView xWindow="240" yWindow="105" windowWidth="14805" windowHeight="8010" firstSheet="13" activeTab="13" xr2:uid="{00000000-000D-0000-FFFF-FFFF00000000}"/>
  </bookViews>
  <sheets>
    <sheet name="Orders_Raw" sheetId="1" r:id="rId1"/>
    <sheet name="Orders_Clean" sheetId="10" r:id="rId2"/>
    <sheet name="Employees_Raw" sheetId="2" r:id="rId3"/>
    <sheet name="Employees_Clean" sheetId="11" r:id="rId4"/>
    <sheet name="Products_Raw" sheetId="3" r:id="rId5"/>
    <sheet name="Products_Clean" sheetId="12" r:id="rId6"/>
    <sheet name="Returns_Raw" sheetId="4" r:id="rId7"/>
    <sheet name="Returns_Clean" sheetId="13" r:id="rId8"/>
    <sheet name="REF_Regions" sheetId="6" r:id="rId9"/>
    <sheet name="REF_Products" sheetId="7" r:id="rId10"/>
    <sheet name="REF_Employees" sheetId="8" r:id="rId11"/>
    <sheet name="REF_PriceBands" sheetId="9" r:id="rId12"/>
    <sheet name="PivotTables" sheetId="14" r:id="rId13"/>
    <sheet name="Dashboard" sheetId="15" r:id="rId14"/>
  </sheets>
  <definedNames>
    <definedName name="_xlnm._FilterDatabase" localSheetId="1" hidden="1">Orders_Clean!$N$1:$O$151</definedName>
    <definedName name="Slicer_Manager_Vlookup">#N/A</definedName>
    <definedName name="Slicer_Region">#N/A</definedName>
  </definedNames>
  <calcPr calcId="191028"/>
  <pivotCaches>
    <pivotCache cacheId="10" r:id="rId15"/>
    <pivotCache cacheId="11" r:id="rId16"/>
    <pivotCache cacheId="12" r:id="rId17"/>
  </pivotCaches>
  <extLst>
    <ext xmlns:x14="http://schemas.microsoft.com/office/spreadsheetml/2009/9/main" uri="{BBE1A952-AA13-448e-AADC-164F8A28A991}">
      <x14:slicerCaches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5" i="10" l="1"/>
  <c r="P39" i="15"/>
  <c r="B39" i="15"/>
  <c r="P14" i="15"/>
  <c r="B14" i="15"/>
  <c r="W3" i="10"/>
  <c r="W4" i="10"/>
  <c r="W5" i="10"/>
  <c r="W6" i="10"/>
  <c r="W7" i="10"/>
  <c r="W8" i="10"/>
  <c r="W9" i="10"/>
  <c r="W2" i="10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2" i="11"/>
  <c r="M2" i="11" a="1"/>
  <c r="M2" i="11" s="1"/>
  <c r="M8" i="11" a="1"/>
  <c r="M8" i="11"/>
  <c r="M9" i="11" a="1"/>
  <c r="M9" i="11"/>
  <c r="M10" i="11" a="1"/>
  <c r="M10" i="11"/>
  <c r="M11" i="11" a="1"/>
  <c r="M11" i="11"/>
  <c r="M12" i="11" a="1"/>
  <c r="M12" i="11"/>
  <c r="M13" i="11" a="1"/>
  <c r="M13" i="11"/>
  <c r="M14" i="11" a="1"/>
  <c r="M14" i="11"/>
  <c r="M15" i="11" a="1"/>
  <c r="M15" i="11"/>
  <c r="M16" i="11" a="1"/>
  <c r="M16" i="11"/>
  <c r="M17" i="11" a="1"/>
  <c r="M17" i="11"/>
  <c r="M18" i="11" a="1"/>
  <c r="M18" i="11"/>
  <c r="M19" i="11" a="1"/>
  <c r="M19" i="11"/>
  <c r="M20" i="11" a="1"/>
  <c r="M20" i="11"/>
  <c r="M21" i="11" a="1"/>
  <c r="M21" i="11"/>
  <c r="M22" i="11" a="1"/>
  <c r="M22" i="11"/>
  <c r="M23" i="11" a="1"/>
  <c r="M23" i="11"/>
  <c r="M24" i="11" a="1"/>
  <c r="M24" i="11"/>
  <c r="M25" i="11" a="1"/>
  <c r="M25" i="11"/>
  <c r="M26" i="11" a="1"/>
  <c r="M26" i="11"/>
  <c r="M27" i="11" a="1"/>
  <c r="M27" i="11"/>
  <c r="M28" i="11" a="1"/>
  <c r="M28" i="11"/>
  <c r="M29" i="11" a="1"/>
  <c r="M29" i="11"/>
  <c r="M30" i="11" a="1"/>
  <c r="M30" i="11"/>
  <c r="M31" i="11" a="1"/>
  <c r="M31" i="11"/>
  <c r="M32" i="11" a="1"/>
  <c r="M32" i="11"/>
  <c r="M33" i="11" a="1"/>
  <c r="M33" i="11"/>
  <c r="M34" i="11" a="1"/>
  <c r="M34" i="11"/>
  <c r="M35" i="11" a="1"/>
  <c r="M35" i="11"/>
  <c r="M36" i="11" a="1"/>
  <c r="M36" i="11"/>
  <c r="M37" i="11" a="1"/>
  <c r="M37" i="11"/>
  <c r="M38" i="11" a="1"/>
  <c r="M38" i="11"/>
  <c r="M39" i="11" a="1"/>
  <c r="M39" i="11"/>
  <c r="M40" i="11" a="1"/>
  <c r="M40" i="11"/>
  <c r="M41" i="11" a="1"/>
  <c r="M41" i="11"/>
  <c r="M42" i="11" a="1"/>
  <c r="M42" i="11"/>
  <c r="M43" i="11" a="1"/>
  <c r="M43" i="11"/>
  <c r="M44" i="11" a="1"/>
  <c r="M44" i="11"/>
  <c r="M45" i="11" a="1"/>
  <c r="M45" i="11"/>
  <c r="M46" i="11" a="1"/>
  <c r="M46" i="11"/>
  <c r="M47" i="11" a="1"/>
  <c r="M47" i="11"/>
  <c r="M48" i="11" a="1"/>
  <c r="M48" i="11"/>
  <c r="M49" i="11" a="1"/>
  <c r="M49" i="11"/>
  <c r="M50" i="11" a="1"/>
  <c r="M50" i="11"/>
  <c r="M51" i="11" a="1"/>
  <c r="M51" i="11"/>
  <c r="M52" i="11" a="1"/>
  <c r="M52" i="11"/>
  <c r="M53" i="11" a="1"/>
  <c r="M53" i="11"/>
  <c r="M54" i="11" a="1"/>
  <c r="M54" i="11"/>
  <c r="M55" i="11" a="1"/>
  <c r="M55" i="11"/>
  <c r="M56" i="11" a="1"/>
  <c r="M56" i="11"/>
  <c r="M57" i="11" a="1"/>
  <c r="M57" i="11"/>
  <c r="M58" i="11" a="1"/>
  <c r="M58" i="11"/>
  <c r="M59" i="11" a="1"/>
  <c r="M59" i="11"/>
  <c r="M60" i="11" a="1"/>
  <c r="M60" i="11"/>
  <c r="M61" i="11" a="1"/>
  <c r="M61" i="11"/>
  <c r="M62" i="11" a="1"/>
  <c r="M62" i="11"/>
  <c r="M63" i="11" a="1"/>
  <c r="M63" i="11"/>
  <c r="M64" i="11" a="1"/>
  <c r="M64" i="11"/>
  <c r="M65" i="11" a="1"/>
  <c r="M65" i="11"/>
  <c r="M66" i="11" a="1"/>
  <c r="M66" i="11"/>
  <c r="M67" i="11" a="1"/>
  <c r="M67" i="11"/>
  <c r="M68" i="11" a="1"/>
  <c r="M68" i="11"/>
  <c r="M69" i="11" a="1"/>
  <c r="M69" i="11"/>
  <c r="M70" i="11" a="1"/>
  <c r="M70" i="11"/>
  <c r="M71" i="11" a="1"/>
  <c r="M71" i="11"/>
  <c r="M72" i="11" a="1"/>
  <c r="M72" i="11"/>
  <c r="M73" i="11" a="1"/>
  <c r="M73" i="11"/>
  <c r="M74" i="11" a="1"/>
  <c r="M74" i="11"/>
  <c r="M75" i="11" a="1"/>
  <c r="M75" i="11"/>
  <c r="M76" i="11" a="1"/>
  <c r="M76" i="11"/>
  <c r="M77" i="11" a="1"/>
  <c r="M77" i="11"/>
  <c r="M78" i="11" a="1"/>
  <c r="M78" i="11"/>
  <c r="M79" i="11" a="1"/>
  <c r="M79" i="11"/>
  <c r="M80" i="11" a="1"/>
  <c r="M80" i="11"/>
  <c r="M81" i="11" a="1"/>
  <c r="M81" i="11"/>
  <c r="M82" i="11" a="1"/>
  <c r="M82" i="11"/>
  <c r="M83" i="11" a="1"/>
  <c r="M83" i="11"/>
  <c r="M84" i="11" a="1"/>
  <c r="M84" i="11"/>
  <c r="M4" i="11" a="1"/>
  <c r="M4" i="11"/>
  <c r="M5" i="11" a="1"/>
  <c r="M5" i="11"/>
  <c r="M6" i="11" a="1"/>
  <c r="M6" i="11"/>
  <c r="M7" i="11" a="1"/>
  <c r="M7" i="11"/>
  <c r="M3" i="11" a="1"/>
  <c r="M3" i="11"/>
  <c r="L3" i="11" a="1"/>
  <c r="L3" i="11"/>
  <c r="L4" i="11" a="1"/>
  <c r="L4" i="11"/>
  <c r="L5" i="11" a="1"/>
  <c r="L5" i="11"/>
  <c r="L6" i="11" a="1"/>
  <c r="L6" i="11"/>
  <c r="L7" i="11" a="1"/>
  <c r="L7" i="11"/>
  <c r="L8" i="11" a="1"/>
  <c r="L8" i="11"/>
  <c r="L9" i="11" a="1"/>
  <c r="L9" i="11"/>
  <c r="L10" i="11" a="1"/>
  <c r="L10" i="11"/>
  <c r="L11" i="11" a="1"/>
  <c r="L11" i="11"/>
  <c r="L12" i="11" a="1"/>
  <c r="L12" i="11"/>
  <c r="L13" i="11" a="1"/>
  <c r="L13" i="11"/>
  <c r="L14" i="11" a="1"/>
  <c r="L14" i="11"/>
  <c r="L15" i="11" a="1"/>
  <c r="L15" i="11"/>
  <c r="L16" i="11" a="1"/>
  <c r="L16" i="11"/>
  <c r="L17" i="11" a="1"/>
  <c r="L17" i="11"/>
  <c r="L18" i="11" a="1"/>
  <c r="L18" i="11"/>
  <c r="L19" i="11" a="1"/>
  <c r="L19" i="11"/>
  <c r="L20" i="11" a="1"/>
  <c r="L20" i="11"/>
  <c r="L21" i="11" a="1"/>
  <c r="L21" i="11"/>
  <c r="L22" i="11" a="1"/>
  <c r="L22" i="11"/>
  <c r="L23" i="11" a="1"/>
  <c r="L23" i="11"/>
  <c r="L24" i="11" a="1"/>
  <c r="L24" i="11"/>
  <c r="L25" i="11" a="1"/>
  <c r="L25" i="11"/>
  <c r="L26" i="11" a="1"/>
  <c r="L26" i="11"/>
  <c r="L27" i="11" a="1"/>
  <c r="L27" i="11"/>
  <c r="L28" i="11" a="1"/>
  <c r="L28" i="11"/>
  <c r="L29" i="11" a="1"/>
  <c r="L29" i="11"/>
  <c r="L30" i="11" a="1"/>
  <c r="L30" i="11"/>
  <c r="L31" i="11" a="1"/>
  <c r="L31" i="11"/>
  <c r="L32" i="11" a="1"/>
  <c r="L32" i="11"/>
  <c r="L33" i="11" a="1"/>
  <c r="L33" i="11"/>
  <c r="L34" i="11" a="1"/>
  <c r="L34" i="11"/>
  <c r="L35" i="11" a="1"/>
  <c r="L35" i="11"/>
  <c r="L36" i="11" a="1"/>
  <c r="L36" i="11"/>
  <c r="L37" i="11" a="1"/>
  <c r="L37" i="11"/>
  <c r="L38" i="11" a="1"/>
  <c r="L38" i="11"/>
  <c r="L39" i="11" a="1"/>
  <c r="L39" i="11"/>
  <c r="L40" i="11" a="1"/>
  <c r="L40" i="11"/>
  <c r="L41" i="11" a="1"/>
  <c r="L41" i="11"/>
  <c r="L42" i="11" a="1"/>
  <c r="L42" i="11"/>
  <c r="L43" i="11" a="1"/>
  <c r="L43" i="11"/>
  <c r="L44" i="11" a="1"/>
  <c r="L44" i="11"/>
  <c r="L45" i="11" a="1"/>
  <c r="L45" i="11"/>
  <c r="L46" i="11" a="1"/>
  <c r="L46" i="11"/>
  <c r="L47" i="11" a="1"/>
  <c r="L47" i="11"/>
  <c r="L48" i="11" a="1"/>
  <c r="L48" i="11"/>
  <c r="L49" i="11" a="1"/>
  <c r="L49" i="11"/>
  <c r="L50" i="11" a="1"/>
  <c r="L50" i="11"/>
  <c r="L51" i="11" a="1"/>
  <c r="L51" i="11"/>
  <c r="L52" i="11" a="1"/>
  <c r="L52" i="11"/>
  <c r="L53" i="11" a="1"/>
  <c r="L53" i="11"/>
  <c r="L54" i="11" a="1"/>
  <c r="L54" i="11"/>
  <c r="L55" i="11" a="1"/>
  <c r="L55" i="11"/>
  <c r="L56" i="11" a="1"/>
  <c r="L56" i="11"/>
  <c r="L57" i="11" a="1"/>
  <c r="L57" i="11"/>
  <c r="L58" i="11" a="1"/>
  <c r="L58" i="11"/>
  <c r="L59" i="11" a="1"/>
  <c r="L59" i="11"/>
  <c r="L60" i="11" a="1"/>
  <c r="L60" i="11"/>
  <c r="L61" i="11" a="1"/>
  <c r="L61" i="11"/>
  <c r="L62" i="11" a="1"/>
  <c r="L62" i="11"/>
  <c r="L63" i="11" a="1"/>
  <c r="L63" i="11"/>
  <c r="L64" i="11" a="1"/>
  <c r="L64" i="11"/>
  <c r="L65" i="11" a="1"/>
  <c r="L65" i="11"/>
  <c r="L66" i="11" a="1"/>
  <c r="L66" i="11"/>
  <c r="L67" i="11" a="1"/>
  <c r="L67" i="11"/>
  <c r="L68" i="11" a="1"/>
  <c r="L68" i="11"/>
  <c r="L69" i="11" a="1"/>
  <c r="L69" i="11"/>
  <c r="L70" i="11" a="1"/>
  <c r="L70" i="11"/>
  <c r="L71" i="11" a="1"/>
  <c r="L71" i="11"/>
  <c r="L72" i="11" a="1"/>
  <c r="L72" i="11"/>
  <c r="L73" i="11" a="1"/>
  <c r="L73" i="11"/>
  <c r="L74" i="11" a="1"/>
  <c r="L74" i="11"/>
  <c r="L75" i="11" a="1"/>
  <c r="L75" i="11"/>
  <c r="L76" i="11" a="1"/>
  <c r="L76" i="11"/>
  <c r="L77" i="11" a="1"/>
  <c r="L77" i="11"/>
  <c r="L78" i="11" a="1"/>
  <c r="L78" i="11"/>
  <c r="L79" i="11" a="1"/>
  <c r="L79" i="11"/>
  <c r="L80" i="11" a="1"/>
  <c r="L80" i="11"/>
  <c r="L81" i="11" a="1"/>
  <c r="L81" i="11"/>
  <c r="L82" i="11" a="1"/>
  <c r="L82" i="11"/>
  <c r="L83" i="11" a="1"/>
  <c r="L83" i="11"/>
  <c r="L84" i="11" a="1"/>
  <c r="L84" i="11"/>
  <c r="L2" i="11" a="1"/>
  <c r="L2" i="11"/>
  <c r="T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2" i="10"/>
  <c r="Q4" i="10"/>
  <c r="S4" i="10" s="1"/>
  <c r="Q5" i="10"/>
  <c r="Q6" i="10"/>
  <c r="S6" i="10" s="1"/>
  <c r="Q7" i="10"/>
  <c r="S7" i="10" s="1"/>
  <c r="Q8" i="10"/>
  <c r="S8" i="10" s="1"/>
  <c r="Q9" i="10"/>
  <c r="S9" i="10" s="1"/>
  <c r="Q10" i="10"/>
  <c r="S10" i="10" s="1"/>
  <c r="Q11" i="10"/>
  <c r="S11" i="10" s="1"/>
  <c r="Q12" i="10"/>
  <c r="S12" i="10" s="1"/>
  <c r="Q13" i="10"/>
  <c r="S13" i="10" s="1"/>
  <c r="Q14" i="10"/>
  <c r="S14" i="10" s="1"/>
  <c r="Q15" i="10"/>
  <c r="S15" i="10" s="1"/>
  <c r="Q16" i="10"/>
  <c r="S16" i="10" s="1"/>
  <c r="Q17" i="10"/>
  <c r="S17" i="10" s="1"/>
  <c r="Q18" i="10"/>
  <c r="S18" i="10" s="1"/>
  <c r="Q19" i="10"/>
  <c r="S19" i="10" s="1"/>
  <c r="Q20" i="10"/>
  <c r="S20" i="10" s="1"/>
  <c r="Q21" i="10"/>
  <c r="S21" i="10" s="1"/>
  <c r="Q22" i="10"/>
  <c r="S22" i="10" s="1"/>
  <c r="Q23" i="10"/>
  <c r="S23" i="10" s="1"/>
  <c r="Q24" i="10"/>
  <c r="S24" i="10" s="1"/>
  <c r="Q25" i="10"/>
  <c r="S25" i="10" s="1"/>
  <c r="Q26" i="10"/>
  <c r="S26" i="10" s="1"/>
  <c r="Q27" i="10"/>
  <c r="S27" i="10" s="1"/>
  <c r="Q28" i="10"/>
  <c r="S28" i="10" s="1"/>
  <c r="Q29" i="10"/>
  <c r="S29" i="10" s="1"/>
  <c r="Q30" i="10"/>
  <c r="S30" i="10" s="1"/>
  <c r="Q31" i="10"/>
  <c r="S31" i="10" s="1"/>
  <c r="Q32" i="10"/>
  <c r="S32" i="10" s="1"/>
  <c r="Q33" i="10"/>
  <c r="S33" i="10" s="1"/>
  <c r="Q34" i="10"/>
  <c r="S34" i="10" s="1"/>
  <c r="Q35" i="10"/>
  <c r="S35" i="10" s="1"/>
  <c r="Q36" i="10"/>
  <c r="S36" i="10" s="1"/>
  <c r="Q37" i="10"/>
  <c r="S37" i="10" s="1"/>
  <c r="Q38" i="10"/>
  <c r="S38" i="10" s="1"/>
  <c r="Q39" i="10"/>
  <c r="S39" i="10" s="1"/>
  <c r="Q40" i="10"/>
  <c r="S40" i="10" s="1"/>
  <c r="Q41" i="10"/>
  <c r="S41" i="10" s="1"/>
  <c r="Q42" i="10"/>
  <c r="S42" i="10" s="1"/>
  <c r="Q43" i="10"/>
  <c r="S43" i="10" s="1"/>
  <c r="Q44" i="10"/>
  <c r="S44" i="10" s="1"/>
  <c r="Q45" i="10"/>
  <c r="S45" i="10" s="1"/>
  <c r="Q46" i="10"/>
  <c r="S46" i="10" s="1"/>
  <c r="Q47" i="10"/>
  <c r="S47" i="10" s="1"/>
  <c r="Q48" i="10"/>
  <c r="S48" i="10" s="1"/>
  <c r="Q49" i="10"/>
  <c r="S49" i="10" s="1"/>
  <c r="Q50" i="10"/>
  <c r="S50" i="10" s="1"/>
  <c r="Q51" i="10"/>
  <c r="S51" i="10" s="1"/>
  <c r="Q52" i="10"/>
  <c r="S52" i="10" s="1"/>
  <c r="Q53" i="10"/>
  <c r="S53" i="10" s="1"/>
  <c r="Q54" i="10"/>
  <c r="S54" i="10" s="1"/>
  <c r="Q55" i="10"/>
  <c r="S55" i="10" s="1"/>
  <c r="Q56" i="10"/>
  <c r="S56" i="10" s="1"/>
  <c r="Q57" i="10"/>
  <c r="S57" i="10" s="1"/>
  <c r="Q58" i="10"/>
  <c r="S58" i="10" s="1"/>
  <c r="Q59" i="10"/>
  <c r="S59" i="10" s="1"/>
  <c r="Q60" i="10"/>
  <c r="S60" i="10" s="1"/>
  <c r="Q61" i="10"/>
  <c r="S61" i="10" s="1"/>
  <c r="Q62" i="10"/>
  <c r="S62" i="10" s="1"/>
  <c r="Q63" i="10"/>
  <c r="S63" i="10" s="1"/>
  <c r="Q64" i="10"/>
  <c r="S64" i="10" s="1"/>
  <c r="Q65" i="10"/>
  <c r="S65" i="10" s="1"/>
  <c r="Q66" i="10"/>
  <c r="S66" i="10" s="1"/>
  <c r="Q67" i="10"/>
  <c r="S67" i="10" s="1"/>
  <c r="Q68" i="10"/>
  <c r="S68" i="10" s="1"/>
  <c r="Q69" i="10"/>
  <c r="S69" i="10" s="1"/>
  <c r="Q70" i="10"/>
  <c r="S70" i="10" s="1"/>
  <c r="Q71" i="10"/>
  <c r="S71" i="10" s="1"/>
  <c r="Q72" i="10"/>
  <c r="S72" i="10" s="1"/>
  <c r="Q73" i="10"/>
  <c r="S73" i="10" s="1"/>
  <c r="Q74" i="10"/>
  <c r="S74" i="10" s="1"/>
  <c r="Q75" i="10"/>
  <c r="S75" i="10" s="1"/>
  <c r="Q76" i="10"/>
  <c r="S76" i="10" s="1"/>
  <c r="Q77" i="10"/>
  <c r="S77" i="10" s="1"/>
  <c r="Q78" i="10"/>
  <c r="S78" i="10" s="1"/>
  <c r="Q79" i="10"/>
  <c r="S79" i="10" s="1"/>
  <c r="Q80" i="10"/>
  <c r="S80" i="10" s="1"/>
  <c r="Q81" i="10"/>
  <c r="S81" i="10" s="1"/>
  <c r="Q82" i="10"/>
  <c r="S82" i="10" s="1"/>
  <c r="Q83" i="10"/>
  <c r="S83" i="10" s="1"/>
  <c r="Q84" i="10"/>
  <c r="S84" i="10" s="1"/>
  <c r="Q85" i="10"/>
  <c r="S85" i="10" s="1"/>
  <c r="Q86" i="10"/>
  <c r="S86" i="10" s="1"/>
  <c r="Q87" i="10"/>
  <c r="S87" i="10" s="1"/>
  <c r="Q88" i="10"/>
  <c r="S88" i="10" s="1"/>
  <c r="Q89" i="10"/>
  <c r="S89" i="10" s="1"/>
  <c r="Q90" i="10"/>
  <c r="S90" i="10" s="1"/>
  <c r="Q91" i="10"/>
  <c r="S91" i="10" s="1"/>
  <c r="Q92" i="10"/>
  <c r="S92" i="10" s="1"/>
  <c r="Q93" i="10"/>
  <c r="S93" i="10" s="1"/>
  <c r="Q94" i="10"/>
  <c r="S94" i="10" s="1"/>
  <c r="Q95" i="10"/>
  <c r="S95" i="10" s="1"/>
  <c r="Q96" i="10"/>
  <c r="S96" i="10" s="1"/>
  <c r="Q97" i="10"/>
  <c r="S97" i="10" s="1"/>
  <c r="Q98" i="10"/>
  <c r="S98" i="10" s="1"/>
  <c r="Q99" i="10"/>
  <c r="S99" i="10" s="1"/>
  <c r="Q100" i="10"/>
  <c r="S100" i="10" s="1"/>
  <c r="Q101" i="10"/>
  <c r="S101" i="10" s="1"/>
  <c r="Q102" i="10"/>
  <c r="S102" i="10" s="1"/>
  <c r="Q103" i="10"/>
  <c r="S103" i="10" s="1"/>
  <c r="Q104" i="10"/>
  <c r="S104" i="10" s="1"/>
  <c r="Q105" i="10"/>
  <c r="S105" i="10" s="1"/>
  <c r="Q106" i="10"/>
  <c r="S106" i="10" s="1"/>
  <c r="Q107" i="10"/>
  <c r="S107" i="10" s="1"/>
  <c r="Q108" i="10"/>
  <c r="S108" i="10" s="1"/>
  <c r="Q109" i="10"/>
  <c r="S109" i="10" s="1"/>
  <c r="Q110" i="10"/>
  <c r="S110" i="10" s="1"/>
  <c r="Q111" i="10"/>
  <c r="S111" i="10" s="1"/>
  <c r="Q112" i="10"/>
  <c r="S112" i="10" s="1"/>
  <c r="Q113" i="10"/>
  <c r="S113" i="10" s="1"/>
  <c r="Q114" i="10"/>
  <c r="S114" i="10" s="1"/>
  <c r="Q115" i="10"/>
  <c r="S115" i="10" s="1"/>
  <c r="Q116" i="10"/>
  <c r="S116" i="10" s="1"/>
  <c r="Q117" i="10"/>
  <c r="S117" i="10" s="1"/>
  <c r="Q118" i="10"/>
  <c r="S118" i="10" s="1"/>
  <c r="Q119" i="10"/>
  <c r="S119" i="10" s="1"/>
  <c r="Q120" i="10"/>
  <c r="S120" i="10" s="1"/>
  <c r="Q121" i="10"/>
  <c r="S121" i="10" s="1"/>
  <c r="Q122" i="10"/>
  <c r="S122" i="10" s="1"/>
  <c r="Q123" i="10"/>
  <c r="S123" i="10" s="1"/>
  <c r="Q124" i="10"/>
  <c r="S124" i="10" s="1"/>
  <c r="Q125" i="10"/>
  <c r="S125" i="10" s="1"/>
  <c r="Q126" i="10"/>
  <c r="S126" i="10" s="1"/>
  <c r="Q127" i="10"/>
  <c r="S127" i="10" s="1"/>
  <c r="Q128" i="10"/>
  <c r="S128" i="10" s="1"/>
  <c r="Q129" i="10"/>
  <c r="S129" i="10" s="1"/>
  <c r="Q130" i="10"/>
  <c r="S130" i="10" s="1"/>
  <c r="Q131" i="10"/>
  <c r="S131" i="10" s="1"/>
  <c r="Q132" i="10"/>
  <c r="S132" i="10" s="1"/>
  <c r="Q133" i="10"/>
  <c r="S133" i="10" s="1"/>
  <c r="Q134" i="10"/>
  <c r="S134" i="10" s="1"/>
  <c r="Q135" i="10"/>
  <c r="S135" i="10" s="1"/>
  <c r="Q136" i="10"/>
  <c r="S136" i="10" s="1"/>
  <c r="Q137" i="10"/>
  <c r="S137" i="10" s="1"/>
  <c r="Q138" i="10"/>
  <c r="S138" i="10" s="1"/>
  <c r="Q139" i="10"/>
  <c r="S139" i="10" s="1"/>
  <c r="Q140" i="10"/>
  <c r="S140" i="10" s="1"/>
  <c r="Q141" i="10"/>
  <c r="S141" i="10" s="1"/>
  <c r="Q142" i="10"/>
  <c r="S142" i="10" s="1"/>
  <c r="Q143" i="10"/>
  <c r="S143" i="10" s="1"/>
  <c r="Q144" i="10"/>
  <c r="S144" i="10" s="1"/>
  <c r="Q145" i="10"/>
  <c r="S145" i="10" s="1"/>
  <c r="Q146" i="10"/>
  <c r="S146" i="10" s="1"/>
  <c r="Q147" i="10"/>
  <c r="S147" i="10" s="1"/>
  <c r="Q148" i="10"/>
  <c r="S148" i="10" s="1"/>
  <c r="Q149" i="10"/>
  <c r="S149" i="10" s="1"/>
  <c r="Q150" i="10"/>
  <c r="S150" i="10" s="1"/>
  <c r="Q151" i="10"/>
  <c r="S151" i="10" s="1"/>
  <c r="Q3" i="10"/>
  <c r="S3" i="10" s="1"/>
  <c r="Q2" i="10"/>
  <c r="S2" i="10" s="1"/>
  <c r="O3" i="10"/>
  <c r="P3" i="10" s="1" a="1"/>
  <c r="P3" i="10" s="1"/>
  <c r="O4" i="10"/>
  <c r="P4" i="10" s="1" a="1"/>
  <c r="P4" i="10" s="1"/>
  <c r="O5" i="10"/>
  <c r="P5" i="10" s="1" a="1"/>
  <c r="P5" i="10" s="1"/>
  <c r="O6" i="10"/>
  <c r="P6" i="10" s="1" a="1"/>
  <c r="P6" i="10" s="1"/>
  <c r="O7" i="10"/>
  <c r="P7" i="10" s="1" a="1"/>
  <c r="P7" i="10" s="1"/>
  <c r="O8" i="10"/>
  <c r="P8" i="10" s="1" a="1"/>
  <c r="P8" i="10" s="1"/>
  <c r="O9" i="10"/>
  <c r="P9" i="10" s="1" a="1"/>
  <c r="P9" i="10" s="1"/>
  <c r="O10" i="10"/>
  <c r="P10" i="10" s="1" a="1"/>
  <c r="P10" i="10" s="1"/>
  <c r="O11" i="10"/>
  <c r="P11" i="10" s="1" a="1"/>
  <c r="P11" i="10" s="1"/>
  <c r="O12" i="10"/>
  <c r="P12" i="10" s="1" a="1"/>
  <c r="P12" i="10" s="1"/>
  <c r="O13" i="10"/>
  <c r="P13" i="10" s="1" a="1"/>
  <c r="P13" i="10" s="1"/>
  <c r="O14" i="10"/>
  <c r="P14" i="10" s="1" a="1"/>
  <c r="P14" i="10" s="1"/>
  <c r="O15" i="10"/>
  <c r="P15" i="10" s="1" a="1"/>
  <c r="P15" i="10" s="1"/>
  <c r="O16" i="10"/>
  <c r="P16" i="10" s="1" a="1"/>
  <c r="P16" i="10" s="1"/>
  <c r="O17" i="10"/>
  <c r="P17" i="10" s="1" a="1"/>
  <c r="P17" i="10" s="1"/>
  <c r="O18" i="10"/>
  <c r="P18" i="10" s="1" a="1"/>
  <c r="P18" i="10" s="1"/>
  <c r="O19" i="10"/>
  <c r="P19" i="10" s="1" a="1"/>
  <c r="P19" i="10" s="1"/>
  <c r="O20" i="10"/>
  <c r="P20" i="10" s="1" a="1"/>
  <c r="P20" i="10" s="1"/>
  <c r="O21" i="10"/>
  <c r="P21" i="10" s="1" a="1"/>
  <c r="P21" i="10" s="1"/>
  <c r="O22" i="10"/>
  <c r="P22" i="10" s="1" a="1"/>
  <c r="P22" i="10" s="1"/>
  <c r="O23" i="10"/>
  <c r="P23" i="10" s="1" a="1"/>
  <c r="P23" i="10" s="1"/>
  <c r="O24" i="10"/>
  <c r="P24" i="10" s="1" a="1"/>
  <c r="P24" i="10" s="1"/>
  <c r="O25" i="10"/>
  <c r="P25" i="10" s="1" a="1"/>
  <c r="P25" i="10" s="1"/>
  <c r="O26" i="10"/>
  <c r="P26" i="10" s="1" a="1"/>
  <c r="P26" i="10" s="1"/>
  <c r="O27" i="10"/>
  <c r="P27" i="10" s="1" a="1"/>
  <c r="P27" i="10" s="1"/>
  <c r="O28" i="10"/>
  <c r="P28" i="10" s="1" a="1"/>
  <c r="P28" i="10" s="1"/>
  <c r="O29" i="10"/>
  <c r="P29" i="10" s="1" a="1"/>
  <c r="P29" i="10" s="1"/>
  <c r="O30" i="10"/>
  <c r="P30" i="10" s="1" a="1"/>
  <c r="P30" i="10" s="1"/>
  <c r="O31" i="10"/>
  <c r="P31" i="10" s="1" a="1"/>
  <c r="P31" i="10" s="1"/>
  <c r="O32" i="10"/>
  <c r="P32" i="10" s="1" a="1"/>
  <c r="P32" i="10" s="1"/>
  <c r="O33" i="10"/>
  <c r="P33" i="10" s="1" a="1"/>
  <c r="P33" i="10" s="1"/>
  <c r="O34" i="10"/>
  <c r="P34" i="10" s="1" a="1"/>
  <c r="P34" i="10" s="1"/>
  <c r="O35" i="10"/>
  <c r="P35" i="10" s="1" a="1"/>
  <c r="P35" i="10" s="1"/>
  <c r="O36" i="10"/>
  <c r="P36" i="10" s="1" a="1"/>
  <c r="P36" i="10" s="1"/>
  <c r="O37" i="10"/>
  <c r="P37" i="10" s="1" a="1"/>
  <c r="P37" i="10" s="1"/>
  <c r="O38" i="10"/>
  <c r="P38" i="10" s="1" a="1"/>
  <c r="P38" i="10" s="1"/>
  <c r="O39" i="10"/>
  <c r="P39" i="10" s="1" a="1"/>
  <c r="P39" i="10" s="1"/>
  <c r="O40" i="10"/>
  <c r="P40" i="10" s="1" a="1"/>
  <c r="P40" i="10" s="1"/>
  <c r="O41" i="10"/>
  <c r="P41" i="10" s="1" a="1"/>
  <c r="P41" i="10" s="1"/>
  <c r="O42" i="10"/>
  <c r="P42" i="10" s="1" a="1"/>
  <c r="P42" i="10" s="1"/>
  <c r="O43" i="10"/>
  <c r="P43" i="10" s="1" a="1"/>
  <c r="P43" i="10" s="1"/>
  <c r="O44" i="10"/>
  <c r="P44" i="10" s="1" a="1"/>
  <c r="P44" i="10" s="1"/>
  <c r="O45" i="10"/>
  <c r="P45" i="10" s="1" a="1"/>
  <c r="P45" i="10" s="1"/>
  <c r="O46" i="10"/>
  <c r="P46" i="10" s="1" a="1"/>
  <c r="P46" i="10" s="1"/>
  <c r="O47" i="10"/>
  <c r="P47" i="10" s="1" a="1"/>
  <c r="P47" i="10" s="1"/>
  <c r="O48" i="10"/>
  <c r="P48" i="10" s="1" a="1"/>
  <c r="P48" i="10" s="1"/>
  <c r="O49" i="10"/>
  <c r="P49" i="10" s="1" a="1"/>
  <c r="P49" i="10" s="1"/>
  <c r="O50" i="10"/>
  <c r="P50" i="10" s="1" a="1"/>
  <c r="P50" i="10" s="1"/>
  <c r="O51" i="10"/>
  <c r="P51" i="10" s="1" a="1"/>
  <c r="P51" i="10" s="1"/>
  <c r="O52" i="10"/>
  <c r="P52" i="10" s="1" a="1"/>
  <c r="P52" i="10" s="1"/>
  <c r="O53" i="10"/>
  <c r="P53" i="10" s="1" a="1"/>
  <c r="P53" i="10" s="1"/>
  <c r="O54" i="10"/>
  <c r="P54" i="10" s="1" a="1"/>
  <c r="P54" i="10" s="1"/>
  <c r="O55" i="10"/>
  <c r="P55" i="10" s="1" a="1"/>
  <c r="P55" i="10" s="1"/>
  <c r="O56" i="10"/>
  <c r="P56" i="10" s="1" a="1"/>
  <c r="P56" i="10" s="1"/>
  <c r="O57" i="10"/>
  <c r="P57" i="10" s="1" a="1"/>
  <c r="P57" i="10" s="1"/>
  <c r="O58" i="10"/>
  <c r="P58" i="10" s="1" a="1"/>
  <c r="P58" i="10" s="1"/>
  <c r="O59" i="10"/>
  <c r="P59" i="10" s="1" a="1"/>
  <c r="P59" i="10" s="1"/>
  <c r="O60" i="10"/>
  <c r="P60" i="10" s="1" a="1"/>
  <c r="P60" i="10" s="1"/>
  <c r="O61" i="10"/>
  <c r="P61" i="10" s="1" a="1"/>
  <c r="P61" i="10" s="1"/>
  <c r="O62" i="10"/>
  <c r="P62" i="10" s="1" a="1"/>
  <c r="P62" i="10" s="1"/>
  <c r="O63" i="10"/>
  <c r="P63" i="10" s="1" a="1"/>
  <c r="P63" i="10" s="1"/>
  <c r="O64" i="10"/>
  <c r="P64" i="10" s="1" a="1"/>
  <c r="P64" i="10" s="1"/>
  <c r="O65" i="10"/>
  <c r="P65" i="10" s="1" a="1"/>
  <c r="P65" i="10" s="1"/>
  <c r="O66" i="10"/>
  <c r="P66" i="10" s="1" a="1"/>
  <c r="P66" i="10" s="1"/>
  <c r="O67" i="10"/>
  <c r="P67" i="10" s="1" a="1"/>
  <c r="P67" i="10" s="1"/>
  <c r="O68" i="10"/>
  <c r="P68" i="10" s="1" a="1"/>
  <c r="P68" i="10" s="1"/>
  <c r="O69" i="10"/>
  <c r="P69" i="10" s="1" a="1"/>
  <c r="P69" i="10" s="1"/>
  <c r="O70" i="10"/>
  <c r="P70" i="10" s="1" a="1"/>
  <c r="P70" i="10" s="1"/>
  <c r="O71" i="10"/>
  <c r="P71" i="10" s="1" a="1"/>
  <c r="P71" i="10" s="1"/>
  <c r="O72" i="10"/>
  <c r="P72" i="10" s="1" a="1"/>
  <c r="P72" i="10" s="1"/>
  <c r="O73" i="10"/>
  <c r="P73" i="10" s="1" a="1"/>
  <c r="P73" i="10" s="1"/>
  <c r="O74" i="10"/>
  <c r="P74" i="10" s="1" a="1"/>
  <c r="P74" i="10" s="1"/>
  <c r="O75" i="10"/>
  <c r="P75" i="10" s="1" a="1"/>
  <c r="P75" i="10" s="1"/>
  <c r="O76" i="10"/>
  <c r="P76" i="10" s="1" a="1"/>
  <c r="P76" i="10" s="1"/>
  <c r="O77" i="10"/>
  <c r="P77" i="10" s="1" a="1"/>
  <c r="P77" i="10" s="1"/>
  <c r="O78" i="10"/>
  <c r="P78" i="10" s="1" a="1"/>
  <c r="P78" i="10" s="1"/>
  <c r="O79" i="10"/>
  <c r="P79" i="10" s="1" a="1"/>
  <c r="P79" i="10" s="1"/>
  <c r="O80" i="10"/>
  <c r="P80" i="10" s="1" a="1"/>
  <c r="P80" i="10" s="1"/>
  <c r="O81" i="10"/>
  <c r="P81" i="10" s="1" a="1"/>
  <c r="P81" i="10" s="1"/>
  <c r="O82" i="10"/>
  <c r="P82" i="10" s="1" a="1"/>
  <c r="P82" i="10" s="1"/>
  <c r="O83" i="10"/>
  <c r="P83" i="10" s="1" a="1"/>
  <c r="P83" i="10" s="1"/>
  <c r="O84" i="10"/>
  <c r="P84" i="10" s="1" a="1"/>
  <c r="P84" i="10" s="1"/>
  <c r="O85" i="10"/>
  <c r="P85" i="10" s="1" a="1"/>
  <c r="P85" i="10" s="1"/>
  <c r="O86" i="10"/>
  <c r="P86" i="10" s="1" a="1"/>
  <c r="P86" i="10" s="1"/>
  <c r="O87" i="10"/>
  <c r="P87" i="10" s="1" a="1"/>
  <c r="P87" i="10" s="1"/>
  <c r="O88" i="10"/>
  <c r="P88" i="10" s="1" a="1"/>
  <c r="P88" i="10" s="1"/>
  <c r="O89" i="10"/>
  <c r="P89" i="10" s="1" a="1"/>
  <c r="P89" i="10" s="1"/>
  <c r="O90" i="10"/>
  <c r="P90" i="10" s="1" a="1"/>
  <c r="P90" i="10" s="1"/>
  <c r="O91" i="10"/>
  <c r="P91" i="10" s="1" a="1"/>
  <c r="P91" i="10" s="1"/>
  <c r="O92" i="10"/>
  <c r="P92" i="10" s="1" a="1"/>
  <c r="P92" i="10" s="1"/>
  <c r="O93" i="10"/>
  <c r="P93" i="10" s="1" a="1"/>
  <c r="P93" i="10" s="1"/>
  <c r="O94" i="10"/>
  <c r="P94" i="10" s="1" a="1"/>
  <c r="P94" i="10" s="1"/>
  <c r="O95" i="10"/>
  <c r="P95" i="10" s="1" a="1"/>
  <c r="P95" i="10" s="1"/>
  <c r="O96" i="10"/>
  <c r="P96" i="10" s="1" a="1"/>
  <c r="P96" i="10" s="1"/>
  <c r="O97" i="10"/>
  <c r="P97" i="10" s="1" a="1"/>
  <c r="P97" i="10" s="1"/>
  <c r="O98" i="10"/>
  <c r="P98" i="10" s="1" a="1"/>
  <c r="P98" i="10" s="1"/>
  <c r="O99" i="10"/>
  <c r="P99" i="10" s="1" a="1"/>
  <c r="P99" i="10" s="1"/>
  <c r="O100" i="10"/>
  <c r="P100" i="10" s="1" a="1"/>
  <c r="P100" i="10" s="1"/>
  <c r="O101" i="10"/>
  <c r="P101" i="10" s="1" a="1"/>
  <c r="P101" i="10" s="1"/>
  <c r="O102" i="10"/>
  <c r="P102" i="10" s="1" a="1"/>
  <c r="P102" i="10" s="1"/>
  <c r="O103" i="10"/>
  <c r="P103" i="10" s="1" a="1"/>
  <c r="P103" i="10" s="1"/>
  <c r="O104" i="10"/>
  <c r="P104" i="10" s="1" a="1"/>
  <c r="P104" i="10" s="1"/>
  <c r="O105" i="10"/>
  <c r="P105" i="10" s="1" a="1"/>
  <c r="P105" i="10" s="1"/>
  <c r="O106" i="10"/>
  <c r="P106" i="10" s="1" a="1"/>
  <c r="P106" i="10" s="1"/>
  <c r="O107" i="10"/>
  <c r="P107" i="10" s="1" a="1"/>
  <c r="P107" i="10" s="1"/>
  <c r="O108" i="10"/>
  <c r="P108" i="10" s="1" a="1"/>
  <c r="P108" i="10" s="1"/>
  <c r="O109" i="10"/>
  <c r="P109" i="10" s="1" a="1"/>
  <c r="P109" i="10" s="1"/>
  <c r="O110" i="10"/>
  <c r="P110" i="10" s="1" a="1"/>
  <c r="P110" i="10" s="1"/>
  <c r="O111" i="10"/>
  <c r="P111" i="10" s="1" a="1"/>
  <c r="P111" i="10" s="1"/>
  <c r="O112" i="10"/>
  <c r="P112" i="10" s="1" a="1"/>
  <c r="P112" i="10" s="1"/>
  <c r="O113" i="10"/>
  <c r="P113" i="10" s="1" a="1"/>
  <c r="P113" i="10" s="1"/>
  <c r="O114" i="10"/>
  <c r="P114" i="10" s="1" a="1"/>
  <c r="P114" i="10" s="1"/>
  <c r="O115" i="10"/>
  <c r="P115" i="10" s="1" a="1"/>
  <c r="P115" i="10" s="1"/>
  <c r="O116" i="10"/>
  <c r="P116" i="10" s="1" a="1"/>
  <c r="P116" i="10" s="1"/>
  <c r="O117" i="10"/>
  <c r="P117" i="10" s="1" a="1"/>
  <c r="P117" i="10" s="1"/>
  <c r="O118" i="10"/>
  <c r="P118" i="10" s="1" a="1"/>
  <c r="P118" i="10" s="1"/>
  <c r="O119" i="10"/>
  <c r="P119" i="10" s="1" a="1"/>
  <c r="P119" i="10" s="1"/>
  <c r="O120" i="10"/>
  <c r="P120" i="10" s="1" a="1"/>
  <c r="P120" i="10" s="1"/>
  <c r="O121" i="10"/>
  <c r="P121" i="10" s="1" a="1"/>
  <c r="P121" i="10" s="1"/>
  <c r="O122" i="10"/>
  <c r="P122" i="10" s="1" a="1"/>
  <c r="P122" i="10" s="1"/>
  <c r="O123" i="10"/>
  <c r="P123" i="10" s="1" a="1"/>
  <c r="P123" i="10" s="1"/>
  <c r="O124" i="10"/>
  <c r="P124" i="10" s="1" a="1"/>
  <c r="P124" i="10" s="1"/>
  <c r="O125" i="10"/>
  <c r="P125" i="10" s="1" a="1"/>
  <c r="P125" i="10" s="1"/>
  <c r="O126" i="10"/>
  <c r="P126" i="10" s="1" a="1"/>
  <c r="P126" i="10" s="1"/>
  <c r="O127" i="10"/>
  <c r="P127" i="10" s="1" a="1"/>
  <c r="P127" i="10" s="1"/>
  <c r="O128" i="10"/>
  <c r="P128" i="10" s="1" a="1"/>
  <c r="P128" i="10" s="1"/>
  <c r="O129" i="10"/>
  <c r="P129" i="10" s="1" a="1"/>
  <c r="P129" i="10" s="1"/>
  <c r="O130" i="10"/>
  <c r="P130" i="10" s="1" a="1"/>
  <c r="P130" i="10" s="1"/>
  <c r="O131" i="10"/>
  <c r="P131" i="10" s="1" a="1"/>
  <c r="P131" i="10" s="1"/>
  <c r="O132" i="10"/>
  <c r="P132" i="10" s="1" a="1"/>
  <c r="P132" i="10" s="1"/>
  <c r="O133" i="10"/>
  <c r="P133" i="10" s="1" a="1"/>
  <c r="P133" i="10" s="1"/>
  <c r="O134" i="10"/>
  <c r="P134" i="10" s="1" a="1"/>
  <c r="P134" i="10" s="1"/>
  <c r="O135" i="10"/>
  <c r="P135" i="10" s="1" a="1"/>
  <c r="P135" i="10" s="1"/>
  <c r="O136" i="10"/>
  <c r="P136" i="10" s="1" a="1"/>
  <c r="P136" i="10" s="1"/>
  <c r="O137" i="10"/>
  <c r="P137" i="10" s="1" a="1"/>
  <c r="P137" i="10" s="1"/>
  <c r="O138" i="10"/>
  <c r="P138" i="10" s="1" a="1"/>
  <c r="P138" i="10" s="1"/>
  <c r="O139" i="10"/>
  <c r="P139" i="10" s="1" a="1"/>
  <c r="P139" i="10" s="1"/>
  <c r="O140" i="10"/>
  <c r="P140" i="10" s="1" a="1"/>
  <c r="P140" i="10" s="1"/>
  <c r="O141" i="10"/>
  <c r="P141" i="10" s="1" a="1"/>
  <c r="P141" i="10" s="1"/>
  <c r="O142" i="10"/>
  <c r="P142" i="10" s="1" a="1"/>
  <c r="P142" i="10" s="1"/>
  <c r="O143" i="10"/>
  <c r="P143" i="10" s="1" a="1"/>
  <c r="P143" i="10" s="1"/>
  <c r="O144" i="10"/>
  <c r="P144" i="10" s="1" a="1"/>
  <c r="P144" i="10" s="1"/>
  <c r="O145" i="10"/>
  <c r="P145" i="10" s="1" a="1"/>
  <c r="P145" i="10" s="1"/>
  <c r="O146" i="10"/>
  <c r="P146" i="10" s="1" a="1"/>
  <c r="P146" i="10" s="1"/>
  <c r="O147" i="10"/>
  <c r="P147" i="10" s="1" a="1"/>
  <c r="P147" i="10" s="1"/>
  <c r="O148" i="10"/>
  <c r="P148" i="10" s="1" a="1"/>
  <c r="P148" i="10" s="1"/>
  <c r="O149" i="10"/>
  <c r="P149" i="10" s="1" a="1"/>
  <c r="P149" i="10" s="1"/>
  <c r="O150" i="10"/>
  <c r="P150" i="10" s="1" a="1"/>
  <c r="P150" i="10" s="1"/>
  <c r="O151" i="10"/>
  <c r="P151" i="10" s="1" a="1"/>
  <c r="P151" i="10" s="1"/>
  <c r="O2" i="10"/>
  <c r="P2" i="10" s="1" a="1"/>
  <c r="P2" i="10" s="1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3" i="10"/>
  <c r="N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<sst xmlns="http://schemas.openxmlformats.org/spreadsheetml/2006/main" count="5003" uniqueCount="1463">
  <si>
    <t>CustomerID</t>
  </si>
  <si>
    <t>ProductID</t>
  </si>
  <si>
    <t>Product Name</t>
  </si>
  <si>
    <t>Quantity</t>
  </si>
  <si>
    <t>Unit Price</t>
  </si>
  <si>
    <t>Order Date</t>
  </si>
  <si>
    <t>Delivery Date</t>
  </si>
  <si>
    <t>Region</t>
  </si>
  <si>
    <t>Status</t>
  </si>
  <si>
    <t>Sales Rep</t>
  </si>
  <si>
    <t>Notes</t>
  </si>
  <si>
    <t>CUST039</t>
  </si>
  <si>
    <t>PRD027</t>
  </si>
  <si>
    <t>BLENDER PRO</t>
  </si>
  <si>
    <t>£31.65</t>
  </si>
  <si>
    <t>east</t>
  </si>
  <si>
    <t>Returned</t>
  </si>
  <si>
    <t>TOM HUSSAIN</t>
  </si>
  <si>
    <t>Gift wrap</t>
  </si>
  <si>
    <t>CUST055</t>
  </si>
  <si>
    <t>PRD024</t>
  </si>
  <si>
    <t>RESISTANCE BANDS</t>
  </si>
  <si>
    <t>$204.45</t>
  </si>
  <si>
    <t>scotland</t>
  </si>
  <si>
    <t>Processing</t>
  </si>
  <si>
    <t xml:space="preserve"> Nina  Adams </t>
  </si>
  <si>
    <t>Fragile</t>
  </si>
  <si>
    <t>CUST053</t>
  </si>
  <si>
    <t>30.51</t>
  </si>
  <si>
    <t>30.01.2024</t>
  </si>
  <si>
    <t>WEST</t>
  </si>
  <si>
    <t>Pending</t>
  </si>
  <si>
    <t>Charlotte King</t>
  </si>
  <si>
    <t>Leave at door</t>
  </si>
  <si>
    <t>CUST049</t>
  </si>
  <si>
    <t>PRD016</t>
  </si>
  <si>
    <t xml:space="preserve"> Stapler </t>
  </si>
  <si>
    <t>91.01</t>
  </si>
  <si>
    <t>24.03.2024</t>
  </si>
  <si>
    <t>29.03.2024</t>
  </si>
  <si>
    <t>MIDLANDS</t>
  </si>
  <si>
    <t>finn wilson</t>
  </si>
  <si>
    <t>CUST027</t>
  </si>
  <si>
    <t>PRD040</t>
  </si>
  <si>
    <t xml:space="preserve"> Trainers Size 9 </t>
  </si>
  <si>
    <t>$86.83</t>
  </si>
  <si>
    <t>Delivered</t>
  </si>
  <si>
    <t>george bell</t>
  </si>
  <si>
    <t>Express delivery</t>
  </si>
  <si>
    <t>CUST051</t>
  </si>
  <si>
    <t>PRD017</t>
  </si>
  <si>
    <t>RUNNING SHOES</t>
  </si>
  <si>
    <t>£223.67</t>
  </si>
  <si>
    <t>North</t>
  </si>
  <si>
    <t>Finn Roberts</t>
  </si>
  <si>
    <t>CUST044</t>
  </si>
  <si>
    <t>PRD011</t>
  </si>
  <si>
    <t xml:space="preserve"> Whiteboard A1 </t>
  </si>
  <si>
    <t>236.10</t>
  </si>
  <si>
    <t>N.I.</t>
  </si>
  <si>
    <t>Hannah Johnson</t>
  </si>
  <si>
    <t>CUST038</t>
  </si>
  <si>
    <t>PRD003</t>
  </si>
  <si>
    <t>USB-C HUB</t>
  </si>
  <si>
    <t>£126.77</t>
  </si>
  <si>
    <t xml:space="preserve">Wales </t>
  </si>
  <si>
    <t>ryan foster</t>
  </si>
  <si>
    <t>CUST058</t>
  </si>
  <si>
    <t>PRD029</t>
  </si>
  <si>
    <t>french press</t>
  </si>
  <si>
    <t>£127.18</t>
  </si>
  <si>
    <t>Northern Ireland</t>
  </si>
  <si>
    <t xml:space="preserve"> Callum  Singh </t>
  </si>
  <si>
    <t>CUST035</t>
  </si>
  <si>
    <t>158.37</t>
  </si>
  <si>
    <t>06.12.2023</t>
  </si>
  <si>
    <t>NORTH</t>
  </si>
  <si>
    <t xml:space="preserve"> Tara  Scott </t>
  </si>
  <si>
    <t>CUST009</t>
  </si>
  <si>
    <t>PRD038</t>
  </si>
  <si>
    <t>Jeans 32X32</t>
  </si>
  <si>
    <t>120.98</t>
  </si>
  <si>
    <t>17.12.2023</t>
  </si>
  <si>
    <t>midlands</t>
  </si>
  <si>
    <t>OLIVIA BAILEY</t>
  </si>
  <si>
    <t>CUST032</t>
  </si>
  <si>
    <t>£84.81</t>
  </si>
  <si>
    <t>EAST</t>
  </si>
  <si>
    <t>PRIYA DAVIES</t>
  </si>
  <si>
    <t>PRD006</t>
  </si>
  <si>
    <t>WEBCAM HD</t>
  </si>
  <si>
    <t>228.47</t>
  </si>
  <si>
    <t>04.07.2023</t>
  </si>
  <si>
    <t>AMY WARD</t>
  </si>
  <si>
    <t>CUST048</t>
  </si>
  <si>
    <t>PRD008</t>
  </si>
  <si>
    <t>STANDING DESK</t>
  </si>
  <si>
    <t>$150.47</t>
  </si>
  <si>
    <t xml:space="preserve"> West</t>
  </si>
  <si>
    <t>PRIYA EVANS</t>
  </si>
  <si>
    <t>CUST017</t>
  </si>
  <si>
    <t>PRD021</t>
  </si>
  <si>
    <t>PROTEIN POWDER 1KG</t>
  </si>
  <si>
    <t>16.53</t>
  </si>
  <si>
    <t>Adam Baker</t>
  </si>
  <si>
    <t>CUST052</t>
  </si>
  <si>
    <t>PRD005</t>
  </si>
  <si>
    <t>MONITOR 27IN</t>
  </si>
  <si>
    <t>$108.05</t>
  </si>
  <si>
    <t>02.12.2023</t>
  </si>
  <si>
    <t xml:space="preserve">North </t>
  </si>
  <si>
    <t>Cancelled</t>
  </si>
  <si>
    <t>Jess Clarke</t>
  </si>
  <si>
    <t>PRD019</t>
  </si>
  <si>
    <t>Yoga Mat</t>
  </si>
  <si>
    <t>£127.46</t>
  </si>
  <si>
    <t>west</t>
  </si>
  <si>
    <t>Ethan Singh</t>
  </si>
  <si>
    <t>CUST037</t>
  </si>
  <si>
    <t>PRD002</t>
  </si>
  <si>
    <t xml:space="preserve"> Wireless Mouse </t>
  </si>
  <si>
    <t>£42.12</t>
  </si>
  <si>
    <t>wales</t>
  </si>
  <si>
    <t>Charlotte Williams</t>
  </si>
  <si>
    <t>CUST005</t>
  </si>
  <si>
    <t>72.28</t>
  </si>
  <si>
    <t>16.05.2023</t>
  </si>
  <si>
    <t xml:space="preserve"> Luke  Singh </t>
  </si>
  <si>
    <t>CUST028</t>
  </si>
  <si>
    <t>£272.14</t>
  </si>
  <si>
    <t>Charlotte Ahmed</t>
  </si>
  <si>
    <t>CUST016</t>
  </si>
  <si>
    <t>70.34</t>
  </si>
  <si>
    <t>18.02.2024</t>
  </si>
  <si>
    <t>nadia singh</t>
  </si>
  <si>
    <t>CUST007</t>
  </si>
  <si>
    <t>£132.71</t>
  </si>
  <si>
    <t>14.07.2023</t>
  </si>
  <si>
    <t>James Singh</t>
  </si>
  <si>
    <t>CUST047</t>
  </si>
  <si>
    <t>50.30</t>
  </si>
  <si>
    <t>SARAH BELL</t>
  </si>
  <si>
    <t>CUST054</t>
  </si>
  <si>
    <t>PRD025</t>
  </si>
  <si>
    <t>COFFEE MAKER</t>
  </si>
  <si>
    <t>£109.56</t>
  </si>
  <si>
    <t>South</t>
  </si>
  <si>
    <t>GRACE WALKER</t>
  </si>
  <si>
    <t>131.90</t>
  </si>
  <si>
    <t>WALES</t>
  </si>
  <si>
    <t>Fatima Bell</t>
  </si>
  <si>
    <t>$82.31</t>
  </si>
  <si>
    <t>George Cox</t>
  </si>
  <si>
    <t>£222.09</t>
  </si>
  <si>
    <t>West</t>
  </si>
  <si>
    <t>Nina Walker</t>
  </si>
  <si>
    <t>PRD032</t>
  </si>
  <si>
    <t>Python for Beginners</t>
  </si>
  <si>
    <t>298.84</t>
  </si>
  <si>
    <t xml:space="preserve">East </t>
  </si>
  <si>
    <t>Lily Malik</t>
  </si>
  <si>
    <t>CUST008</t>
  </si>
  <si>
    <t>63.48</t>
  </si>
  <si>
    <t>Grace Bailey</t>
  </si>
  <si>
    <t>190.64</t>
  </si>
  <si>
    <t>Mohammed Shah</t>
  </si>
  <si>
    <t>CUST026</t>
  </si>
  <si>
    <t>PRD009</t>
  </si>
  <si>
    <t>Desk Lamp</t>
  </si>
  <si>
    <t>£180.52</t>
  </si>
  <si>
    <t>RUBY BAKER</t>
  </si>
  <si>
    <t>CUST033</t>
  </si>
  <si>
    <t>£71.29</t>
  </si>
  <si>
    <t xml:space="preserve"> James  Adams </t>
  </si>
  <si>
    <t>138.99</t>
  </si>
  <si>
    <t>19.01.2023</t>
  </si>
  <si>
    <t>emma taylor</t>
  </si>
  <si>
    <t>PRD036</t>
  </si>
  <si>
    <t>Self Help Guide</t>
  </si>
  <si>
    <t>29.42</t>
  </si>
  <si>
    <t>Mids</t>
  </si>
  <si>
    <t xml:space="preserve"> Owen  Williams </t>
  </si>
  <si>
    <t>£67.80</t>
  </si>
  <si>
    <t xml:space="preserve"> Max  Ward </t>
  </si>
  <si>
    <t>CUST036</t>
  </si>
  <si>
    <t>PRD012</t>
  </si>
  <si>
    <t>Notebook Pack</t>
  </si>
  <si>
    <t>$253.94</t>
  </si>
  <si>
    <t>11.11.2023</t>
  </si>
  <si>
    <t>Lily Williams</t>
  </si>
  <si>
    <t>£250.69</t>
  </si>
  <si>
    <t>15.12.2023</t>
  </si>
  <si>
    <t>Midlands</t>
  </si>
  <si>
    <t>LILY ROBERTS</t>
  </si>
  <si>
    <t>CUST041</t>
  </si>
  <si>
    <t>$119.12</t>
  </si>
  <si>
    <t>NADIA BELL</t>
  </si>
  <si>
    <t>PRD007</t>
  </si>
  <si>
    <t>OFFICE CHAIR</t>
  </si>
  <si>
    <t>£112.20</t>
  </si>
  <si>
    <t>DANIEL WILSON</t>
  </si>
  <si>
    <t>PRD033</t>
  </si>
  <si>
    <t xml:space="preserve"> Data Science Handbook </t>
  </si>
  <si>
    <t>£80.88</t>
  </si>
  <si>
    <t>Hannah Murphy</t>
  </si>
  <si>
    <t>144.99</t>
  </si>
  <si>
    <t>26.05.2024</t>
  </si>
  <si>
    <t>north</t>
  </si>
  <si>
    <t>Liam Bell</t>
  </si>
  <si>
    <t>CUST050</t>
  </si>
  <si>
    <t>PRD035</t>
  </si>
  <si>
    <t xml:space="preserve"> Cook Book 2024 </t>
  </si>
  <si>
    <t>£22.19</t>
  </si>
  <si>
    <t>20.01.2023</t>
  </si>
  <si>
    <t>Mia Williams</t>
  </si>
  <si>
    <t>PRD028</t>
  </si>
  <si>
    <t>Air Fryer</t>
  </si>
  <si>
    <t>$266.77</t>
  </si>
  <si>
    <t>OLIVIA WILLIAMS</t>
  </si>
  <si>
    <t>£87.41</t>
  </si>
  <si>
    <t>AMELIA GREEN</t>
  </si>
  <si>
    <t>CUST031</t>
  </si>
  <si>
    <t>£213.00</t>
  </si>
  <si>
    <t>East</t>
  </si>
  <si>
    <t>CUST020</t>
  </si>
  <si>
    <t>119.84</t>
  </si>
  <si>
    <t>ruby foster</t>
  </si>
  <si>
    <t>$171.33</t>
  </si>
  <si>
    <t>19.02.2023</t>
  </si>
  <si>
    <t xml:space="preserve"> Owen  Davies </t>
  </si>
  <si>
    <t>293.27</t>
  </si>
  <si>
    <t>13.04.2023</t>
  </si>
  <si>
    <t>FATIMA BAILEY</t>
  </si>
  <si>
    <t>CUST012</t>
  </si>
  <si>
    <t>PRD004</t>
  </si>
  <si>
    <t>Mechanical Keyboard</t>
  </si>
  <si>
    <t>28.58</t>
  </si>
  <si>
    <t>24.01.2024</t>
  </si>
  <si>
    <t>James Thomas</t>
  </si>
  <si>
    <t>CUST021</t>
  </si>
  <si>
    <t>PRD018</t>
  </si>
  <si>
    <t xml:space="preserve"> Gym Bag </t>
  </si>
  <si>
    <t>£188.01</t>
  </si>
  <si>
    <t>Grace Foster</t>
  </si>
  <si>
    <t>140.79</t>
  </si>
  <si>
    <t xml:space="preserve"> Maya  Smith </t>
  </si>
  <si>
    <t>40.53</t>
  </si>
  <si>
    <t>28.03.2024</t>
  </si>
  <si>
    <t>south</t>
  </si>
  <si>
    <t>HANNAH ROBERTS</t>
  </si>
  <si>
    <t>CUST002</t>
  </si>
  <si>
    <t>PRD023</t>
  </si>
  <si>
    <t xml:space="preserve"> First Aid Kit </t>
  </si>
  <si>
    <t>£287.57</t>
  </si>
  <si>
    <t>AARON SMITH</t>
  </si>
  <si>
    <t>£105.98</t>
  </si>
  <si>
    <t>08.09.2023</t>
  </si>
  <si>
    <t xml:space="preserve"> Mohammed  Walker </t>
  </si>
  <si>
    <t>CUST022</t>
  </si>
  <si>
    <t>£102.27</t>
  </si>
  <si>
    <t>max patel</t>
  </si>
  <si>
    <t>£54.94</t>
  </si>
  <si>
    <t>SCOTLAND</t>
  </si>
  <si>
    <t>ETHAN SHAH</t>
  </si>
  <si>
    <t>CUST006</t>
  </si>
  <si>
    <t>PRD031</t>
  </si>
  <si>
    <t>Novel - The Shift</t>
  </si>
  <si>
    <t>£237.33</t>
  </si>
  <si>
    <t>02.05.2023</t>
  </si>
  <si>
    <t>daniel gupta</t>
  </si>
  <si>
    <t>CUST011</t>
  </si>
  <si>
    <t>PRD001</t>
  </si>
  <si>
    <t xml:space="preserve"> Laptop Pro 15 </t>
  </si>
  <si>
    <t>96.36</t>
  </si>
  <si>
    <t>sophie williams</t>
  </si>
  <si>
    <t>CUST010</t>
  </si>
  <si>
    <t>£88.41</t>
  </si>
  <si>
    <t>29.09.2023</t>
  </si>
  <si>
    <t>Lily Davies</t>
  </si>
  <si>
    <t>CUST001</t>
  </si>
  <si>
    <t>97.06</t>
  </si>
  <si>
    <t xml:space="preserve"> Ruby  Hall </t>
  </si>
  <si>
    <t>CUST015</t>
  </si>
  <si>
    <t>£14.10</t>
  </si>
  <si>
    <t>mohammed roberts</t>
  </si>
  <si>
    <t>7.66</t>
  </si>
  <si>
    <t>09.05.2023</t>
  </si>
  <si>
    <t>NADIA COOPER</t>
  </si>
  <si>
    <t>£56.36</t>
  </si>
  <si>
    <t>14.06.2024</t>
  </si>
  <si>
    <t>George King</t>
  </si>
  <si>
    <t>CUST043</t>
  </si>
  <si>
    <t>PRD013</t>
  </si>
  <si>
    <t>Ballpoint Pens X10</t>
  </si>
  <si>
    <t>£156.01</t>
  </si>
  <si>
    <t>30.08.2023</t>
  </si>
  <si>
    <t>EMMA WILLIAMS</t>
  </si>
  <si>
    <t>41.71</t>
  </si>
  <si>
    <t>Ella Sharma</t>
  </si>
  <si>
    <t>CUST040</t>
  </si>
  <si>
    <t>$291.62</t>
  </si>
  <si>
    <t>Scot.</t>
  </si>
  <si>
    <t>Owen Shah</t>
  </si>
  <si>
    <t>CUST056</t>
  </si>
  <si>
    <t>$181.87</t>
  </si>
  <si>
    <t>ben thomas</t>
  </si>
  <si>
    <t>£224.76</t>
  </si>
  <si>
    <t>AMY COOPER</t>
  </si>
  <si>
    <t>CUST018</t>
  </si>
  <si>
    <t>PRD015</t>
  </si>
  <si>
    <t>Printer Paper A4</t>
  </si>
  <si>
    <t>153.61</t>
  </si>
  <si>
    <t>12.05.2024</t>
  </si>
  <si>
    <t>Grace Walker</t>
  </si>
  <si>
    <t>CUST034</t>
  </si>
  <si>
    <t>PRD030</t>
  </si>
  <si>
    <t>Mug Set x4</t>
  </si>
  <si>
    <t>£8.22</t>
  </si>
  <si>
    <t>15.01.2023</t>
  </si>
  <si>
    <t>Ben Ali</t>
  </si>
  <si>
    <t>CUST013</t>
  </si>
  <si>
    <t>PRD010</t>
  </si>
  <si>
    <t>filing cabinet</t>
  </si>
  <si>
    <t>238.81</t>
  </si>
  <si>
    <t>Ella Hussain</t>
  </si>
  <si>
    <t>£112.49</t>
  </si>
  <si>
    <t>Fatima Baker</t>
  </si>
  <si>
    <t>94.77</t>
  </si>
  <si>
    <t>18.04.2024</t>
  </si>
  <si>
    <t xml:space="preserve"> Priya  Patel </t>
  </si>
  <si>
    <t>CUST045</t>
  </si>
  <si>
    <t>65.15</t>
  </si>
  <si>
    <t>02.11.2023</t>
  </si>
  <si>
    <t>Jack Ali</t>
  </si>
  <si>
    <t>$143.53</t>
  </si>
  <si>
    <t>DANIEL CLARKE</t>
  </si>
  <si>
    <t>£209.22</t>
  </si>
  <si>
    <t>Amelia Sharma</t>
  </si>
  <si>
    <t>280.99</t>
  </si>
  <si>
    <t>FINN MURPHY</t>
  </si>
  <si>
    <t>$209.94</t>
  </si>
  <si>
    <t>James Scott</t>
  </si>
  <si>
    <t>£76.22</t>
  </si>
  <si>
    <t>Tara Ali</t>
  </si>
  <si>
    <t>13.73</t>
  </si>
  <si>
    <t>Lucas Hall</t>
  </si>
  <si>
    <t>CUST003</t>
  </si>
  <si>
    <t>261.58</t>
  </si>
  <si>
    <t>Callum Ali</t>
  </si>
  <si>
    <t>CUST004</t>
  </si>
  <si>
    <t>PRD034</t>
  </si>
  <si>
    <t>business strategy</t>
  </si>
  <si>
    <t>£119.54</t>
  </si>
  <si>
    <t>ALI MORRIS</t>
  </si>
  <si>
    <t>PRD020</t>
  </si>
  <si>
    <t>Water Bottle</t>
  </si>
  <si>
    <t>156.29</t>
  </si>
  <si>
    <t>Scotland</t>
  </si>
  <si>
    <t xml:space="preserve"> Ravi  Wilson </t>
  </si>
  <si>
    <t>235.41</t>
  </si>
  <si>
    <t>Sophie Khan</t>
  </si>
  <si>
    <t>£207.24</t>
  </si>
  <si>
    <t>Noah Sharma</t>
  </si>
  <si>
    <t>271.31</t>
  </si>
  <si>
    <t>17.08.2023</t>
  </si>
  <si>
    <t xml:space="preserve"> Owen  Green </t>
  </si>
  <si>
    <t>CUST057</t>
  </si>
  <si>
    <t>£208.51</t>
  </si>
  <si>
    <t>MOHAMMED JONES</t>
  </si>
  <si>
    <t>PRD014</t>
  </si>
  <si>
    <t>Sticky Notes</t>
  </si>
  <si>
    <t>192.27</t>
  </si>
  <si>
    <t>Emma Smith</t>
  </si>
  <si>
    <t>92.11</t>
  </si>
  <si>
    <t>14.05.2023</t>
  </si>
  <si>
    <t>LUCAS THOMAS</t>
  </si>
  <si>
    <t>CUST014</t>
  </si>
  <si>
    <t>16.71</t>
  </si>
  <si>
    <t xml:space="preserve"> Finn  Clarke </t>
  </si>
  <si>
    <t>102.95</t>
  </si>
  <si>
    <t>Jack Sharma</t>
  </si>
  <si>
    <t>CUST023</t>
  </si>
  <si>
    <t>£124.09</t>
  </si>
  <si>
    <t>Ali Hussain</t>
  </si>
  <si>
    <t>£44.31</t>
  </si>
  <si>
    <t>12.03.2024</t>
  </si>
  <si>
    <t>ali roberts</t>
  </si>
  <si>
    <t>90.83</t>
  </si>
  <si>
    <t>18.07.2023</t>
  </si>
  <si>
    <t>Noah Foster</t>
  </si>
  <si>
    <t>$149.61</t>
  </si>
  <si>
    <t>11.08.2023</t>
  </si>
  <si>
    <t>jack malik</t>
  </si>
  <si>
    <t>PRD022</t>
  </si>
  <si>
    <t>vitamin d 90tabs</t>
  </si>
  <si>
    <t>247.79</t>
  </si>
  <si>
    <t>Sophie Gupta</t>
  </si>
  <si>
    <t>CUST046</t>
  </si>
  <si>
    <t>90.9</t>
  </si>
  <si>
    <t xml:space="preserve"> Freya  Baker </t>
  </si>
  <si>
    <t>CUST019</t>
  </si>
  <si>
    <t>265.84</t>
  </si>
  <si>
    <t>NOAH BELL</t>
  </si>
  <si>
    <t>CUST030</t>
  </si>
  <si>
    <t>121.54</t>
  </si>
  <si>
    <t>Callum Green</t>
  </si>
  <si>
    <t>240.17</t>
  </si>
  <si>
    <t>02.02.2024</t>
  </si>
  <si>
    <t>Liam Malik</t>
  </si>
  <si>
    <t>CUST025</t>
  </si>
  <si>
    <t>100.14</t>
  </si>
  <si>
    <t>18.05.2023</t>
  </si>
  <si>
    <t>NI</t>
  </si>
  <si>
    <t>SAM WALKER</t>
  </si>
  <si>
    <t>299.62</t>
  </si>
  <si>
    <t>SOUTH</t>
  </si>
  <si>
    <t>ravi clarke</t>
  </si>
  <si>
    <t>156.15</t>
  </si>
  <si>
    <t>Callum Malik</t>
  </si>
  <si>
    <t>£119.57</t>
  </si>
  <si>
    <t>ETHAN KING</t>
  </si>
  <si>
    <t>PRD039</t>
  </si>
  <si>
    <t>T-Shirt Pack x3</t>
  </si>
  <si>
    <t>$210.01</t>
  </si>
  <si>
    <t>28.11.2023</t>
  </si>
  <si>
    <t>ZARA BAKER</t>
  </si>
  <si>
    <t>£212.82</t>
  </si>
  <si>
    <t>22.07.2023</t>
  </si>
  <si>
    <t>sophie bailey</t>
  </si>
  <si>
    <t>162.20</t>
  </si>
  <si>
    <t>Josh Ahmed</t>
  </si>
  <si>
    <t>PRD026</t>
  </si>
  <si>
    <t xml:space="preserve"> Toaster </t>
  </si>
  <si>
    <t>£35.37</t>
  </si>
  <si>
    <t>02.09.2023</t>
  </si>
  <si>
    <t>owen ahmed</t>
  </si>
  <si>
    <t>153.71</t>
  </si>
  <si>
    <t xml:space="preserve"> Olivia  Thomas </t>
  </si>
  <si>
    <t>£193.76</t>
  </si>
  <si>
    <t>10.06.2024</t>
  </si>
  <si>
    <t xml:space="preserve"> Ravi  Baker </t>
  </si>
  <si>
    <t>279.04</t>
  </si>
  <si>
    <t>ni</t>
  </si>
  <si>
    <t>Ruby Taylor</t>
  </si>
  <si>
    <t>CUST060</t>
  </si>
  <si>
    <t>£64.15</t>
  </si>
  <si>
    <t>02.01.2024</t>
  </si>
  <si>
    <t xml:space="preserve"> Sarah  Cox </t>
  </si>
  <si>
    <t>133.65</t>
  </si>
  <si>
    <t>LIAM SHAH</t>
  </si>
  <si>
    <t>£105.06</t>
  </si>
  <si>
    <t>PRD037</t>
  </si>
  <si>
    <t>hoodie l</t>
  </si>
  <si>
    <t>£92.62</t>
  </si>
  <si>
    <t>Luke Singh</t>
  </si>
  <si>
    <t>CUST042</t>
  </si>
  <si>
    <t>£10.46</t>
  </si>
  <si>
    <t>james thomas</t>
  </si>
  <si>
    <t>125.94</t>
  </si>
  <si>
    <t>Callum Thomas</t>
  </si>
  <si>
    <t>CUST059</t>
  </si>
  <si>
    <t>£251.07</t>
  </si>
  <si>
    <t>02.03.2024</t>
  </si>
  <si>
    <t>liam williams</t>
  </si>
  <si>
    <t>$37.85</t>
  </si>
  <si>
    <t>ALI HUSSAIN</t>
  </si>
  <si>
    <t>$156.50</t>
  </si>
  <si>
    <t>HANA EVANS</t>
  </si>
  <si>
    <t>$80.95</t>
  </si>
  <si>
    <t>14.02.2023</t>
  </si>
  <si>
    <t>FREYA WILLIAMS</t>
  </si>
  <si>
    <t>104.67</t>
  </si>
  <si>
    <t>28.01.2023</t>
  </si>
  <si>
    <t>NOAH HUSSAIN</t>
  </si>
  <si>
    <t>£267.01</t>
  </si>
  <si>
    <t>Leo Bell</t>
  </si>
  <si>
    <t>£259.49</t>
  </si>
  <si>
    <t>luke ahmed</t>
  </si>
  <si>
    <t>179.41</t>
  </si>
  <si>
    <t>11.06.2023</t>
  </si>
  <si>
    <t>Charlotte Shah</t>
  </si>
  <si>
    <t>£152.98</t>
  </si>
  <si>
    <t>Amy Green</t>
  </si>
  <si>
    <t>£17.35</t>
  </si>
  <si>
    <t xml:space="preserve"> Hana  Clarke </t>
  </si>
  <si>
    <t>CUST024</t>
  </si>
  <si>
    <t>£286.95</t>
  </si>
  <si>
    <t>05.01.2024</t>
  </si>
  <si>
    <t xml:space="preserve"> Ella  Taylor </t>
  </si>
  <si>
    <t>34.86</t>
  </si>
  <si>
    <t>leo thomas</t>
  </si>
  <si>
    <t>£73.67</t>
  </si>
  <si>
    <t>02.06.2023</t>
  </si>
  <si>
    <t>LEO AHMED</t>
  </si>
  <si>
    <t>88.19</t>
  </si>
  <si>
    <t>15.03.2024</t>
  </si>
  <si>
    <t>SARAH BAKER</t>
  </si>
  <si>
    <t>270.54</t>
  </si>
  <si>
    <t xml:space="preserve"> Grace  Patel </t>
  </si>
  <si>
    <t>£159.40</t>
  </si>
  <si>
    <t>Lily Roberts</t>
  </si>
  <si>
    <t>£242.43</t>
  </si>
  <si>
    <t>07.06.2024</t>
  </si>
  <si>
    <t>£281.68</t>
  </si>
  <si>
    <t xml:space="preserve"> Mia  Foster </t>
  </si>
  <si>
    <t>64.59</t>
  </si>
  <si>
    <t>Harry King</t>
  </si>
  <si>
    <t>£100.44</t>
  </si>
  <si>
    <t>George Hussain</t>
  </si>
  <si>
    <t>$219.96</t>
  </si>
  <si>
    <t>Wales</t>
  </si>
  <si>
    <t>Ravi Roberts</t>
  </si>
  <si>
    <t>248.83</t>
  </si>
  <si>
    <t>Priya Khan</t>
  </si>
  <si>
    <t>£252.06</t>
  </si>
  <si>
    <t>Mohammed Brown</t>
  </si>
  <si>
    <t>252.38</t>
  </si>
  <si>
    <t>Finn Rao</t>
  </si>
  <si>
    <t>£172.98</t>
  </si>
  <si>
    <t>Freya Jones</t>
  </si>
  <si>
    <t>$109.17</t>
  </si>
  <si>
    <t>LIAM TAYLOR</t>
  </si>
  <si>
    <t>89.54</t>
  </si>
  <si>
    <t xml:space="preserve"> South</t>
  </si>
  <si>
    <t>£258.57</t>
  </si>
  <si>
    <t>30.06.2023</t>
  </si>
  <si>
    <t>GEORGE BROWN</t>
  </si>
  <si>
    <t>£69.37</t>
  </si>
  <si>
    <t>21.02.2023</t>
  </si>
  <si>
    <t>23.02.2023</t>
  </si>
  <si>
    <t>Ethan Williams</t>
  </si>
  <si>
    <t>CUST029</t>
  </si>
  <si>
    <t>£22.26</t>
  </si>
  <si>
    <t>Jack Johnson</t>
  </si>
  <si>
    <t>23.09</t>
  </si>
  <si>
    <t>26.04.2024</t>
  </si>
  <si>
    <t>Liam Morris</t>
  </si>
  <si>
    <t>$290.23</t>
  </si>
  <si>
    <t>15.08.2023</t>
  </si>
  <si>
    <t>hana walker</t>
  </si>
  <si>
    <t>202.75</t>
  </si>
  <si>
    <t>10.01.2023</t>
  </si>
  <si>
    <t>Aaron Singh</t>
  </si>
  <si>
    <t>Formulas</t>
  </si>
  <si>
    <t>Total Revenue Per Purchase</t>
  </si>
  <si>
    <t>Delivery Speed 1</t>
  </si>
  <si>
    <t>Delivery Speed 2</t>
  </si>
  <si>
    <t>Order Date Month</t>
  </si>
  <si>
    <t>Order Date Year</t>
  </si>
  <si>
    <t>Order Date Concatenate</t>
  </si>
  <si>
    <t>Category</t>
  </si>
  <si>
    <t>February Sales Target</t>
  </si>
  <si>
    <t>February</t>
  </si>
  <si>
    <t>West England</t>
  </si>
  <si>
    <t>Ruby Hall</t>
  </si>
  <si>
    <t>North England</t>
  </si>
  <si>
    <t>Running Shoes</t>
  </si>
  <si>
    <t>South England</t>
  </si>
  <si>
    <t>Ravi Clarke</t>
  </si>
  <si>
    <t>Blank</t>
  </si>
  <si>
    <t>First Aid Kit</t>
  </si>
  <si>
    <t>Aaron Smith</t>
  </si>
  <si>
    <t>East England</t>
  </si>
  <si>
    <t>Cook Book 2024</t>
  </si>
  <si>
    <t>Noah Hussain</t>
  </si>
  <si>
    <t>Vitamin D 90Tabs</t>
  </si>
  <si>
    <t>Business Strategy</t>
  </si>
  <si>
    <t>Ali Morris</t>
  </si>
  <si>
    <t>Wireless Mouse</t>
  </si>
  <si>
    <t>Jack Malik</t>
  </si>
  <si>
    <t>T-Shirt Pack X3</t>
  </si>
  <si>
    <t>Zara Baker</t>
  </si>
  <si>
    <t>Hana Evans</t>
  </si>
  <si>
    <t>Laptop Pro 15</t>
  </si>
  <si>
    <t>Ali Roberts</t>
  </si>
  <si>
    <t>Whiteboard A1</t>
  </si>
  <si>
    <t>Usb-C Hub</t>
  </si>
  <si>
    <t>Coffee Maker</t>
  </si>
  <si>
    <t>Webcam Hd</t>
  </si>
  <si>
    <t>Nadia Cooper</t>
  </si>
  <si>
    <t>Daniel Gupta</t>
  </si>
  <si>
    <t>Standing Desk</t>
  </si>
  <si>
    <t>Ethan King</t>
  </si>
  <si>
    <t>Sophie Bailey</t>
  </si>
  <si>
    <t>Protein Powder 1Kg</t>
  </si>
  <si>
    <t>Olivia Thomas</t>
  </si>
  <si>
    <t>Olivia Bailey</t>
  </si>
  <si>
    <t>Sophie Williams</t>
  </si>
  <si>
    <t>Filing Cabinet</t>
  </si>
  <si>
    <t>Finn Clarke</t>
  </si>
  <si>
    <t>Mohammed Roberts</t>
  </si>
  <si>
    <t>Stapler</t>
  </si>
  <si>
    <t>Nadia Singh</t>
  </si>
  <si>
    <t>Data Science Handbook</t>
  </si>
  <si>
    <t>Daniel Clarke</t>
  </si>
  <si>
    <t>Python For Beginners</t>
  </si>
  <si>
    <t>Mug Set X4</t>
  </si>
  <si>
    <t>Trainers Size 9</t>
  </si>
  <si>
    <t>Hana Clarke</t>
  </si>
  <si>
    <t>Resistance Bands</t>
  </si>
  <si>
    <t>Noah Bell</t>
  </si>
  <si>
    <t>Ruby Foster</t>
  </si>
  <si>
    <t>Owen Green</t>
  </si>
  <si>
    <t>Gym Bag</t>
  </si>
  <si>
    <t>Leo Ahmed</t>
  </si>
  <si>
    <t>Max Patel</t>
  </si>
  <si>
    <t>French Press</t>
  </si>
  <si>
    <t>Toaster</t>
  </si>
  <si>
    <t>Owen Ahmed</t>
  </si>
  <si>
    <t>Blender Pro</t>
  </si>
  <si>
    <t>Luke Ahmed</t>
  </si>
  <si>
    <t>Ella Taylor</t>
  </si>
  <si>
    <t>Sam Walker</t>
  </si>
  <si>
    <t>Ruby Baker</t>
  </si>
  <si>
    <t>Lucas Thomas</t>
  </si>
  <si>
    <t>George Bell</t>
  </si>
  <si>
    <t>CUST061</t>
  </si>
  <si>
    <t>Sarah Baker</t>
  </si>
  <si>
    <t>CUST062</t>
  </si>
  <si>
    <t>CUST063</t>
  </si>
  <si>
    <t>Emma Taylor</t>
  </si>
  <si>
    <t>CUST064</t>
  </si>
  <si>
    <t>Ethan Shah</t>
  </si>
  <si>
    <t>CUST065</t>
  </si>
  <si>
    <t>CUST066</t>
  </si>
  <si>
    <t>CUST067</t>
  </si>
  <si>
    <t>CUST068</t>
  </si>
  <si>
    <t>CUST069</t>
  </si>
  <si>
    <t>Mohammed Walker</t>
  </si>
  <si>
    <t>CUST070</t>
  </si>
  <si>
    <t>CUST071</t>
  </si>
  <si>
    <t>CUST072</t>
  </si>
  <si>
    <t>Priya Davies</t>
  </si>
  <si>
    <t>CUST073</t>
  </si>
  <si>
    <t>CUST074</t>
  </si>
  <si>
    <t>Ravi Baker</t>
  </si>
  <si>
    <t>CUST075</t>
  </si>
  <si>
    <t>James Adams</t>
  </si>
  <si>
    <t>CUST076</t>
  </si>
  <si>
    <t>CUST077</t>
  </si>
  <si>
    <t>George Brown</t>
  </si>
  <si>
    <t>CUST078</t>
  </si>
  <si>
    <t>CUST079</t>
  </si>
  <si>
    <t>CUST080</t>
  </si>
  <si>
    <t>Tara Scott</t>
  </si>
  <si>
    <t>CUST081</t>
  </si>
  <si>
    <t>Amy Ward</t>
  </si>
  <si>
    <t>CUST082</t>
  </si>
  <si>
    <t>Max Ward</t>
  </si>
  <si>
    <t>CUST083</t>
  </si>
  <si>
    <t>Fatima Bailey</t>
  </si>
  <si>
    <t>CUST084</t>
  </si>
  <si>
    <t>Maya Smith</t>
  </si>
  <si>
    <t>CUST085</t>
  </si>
  <si>
    <t>Finn Murphy</t>
  </si>
  <si>
    <t>CUST086</t>
  </si>
  <si>
    <t>Office Chair</t>
  </si>
  <si>
    <t>CUST087</t>
  </si>
  <si>
    <t>CUST088</t>
  </si>
  <si>
    <t>CUST089</t>
  </si>
  <si>
    <t>Leo Thomas</t>
  </si>
  <si>
    <t>CUST090</t>
  </si>
  <si>
    <t>CUST091</t>
  </si>
  <si>
    <t>Priya Patel</t>
  </si>
  <si>
    <t>CUST092</t>
  </si>
  <si>
    <t>Ravi Wilson</t>
  </si>
  <si>
    <t>CUST093</t>
  </si>
  <si>
    <t>Ryan Foster</t>
  </si>
  <si>
    <t>CUST094</t>
  </si>
  <si>
    <t>CUST095</t>
  </si>
  <si>
    <t>CUST096</t>
  </si>
  <si>
    <t>Grace Patel</t>
  </si>
  <si>
    <t>CUST097</t>
  </si>
  <si>
    <t>Tom Hussain</t>
  </si>
  <si>
    <t>CUST098</t>
  </si>
  <si>
    <t>CUST099</t>
  </si>
  <si>
    <t>Amy Cooper</t>
  </si>
  <si>
    <t>CUST100</t>
  </si>
  <si>
    <t>CUST101</t>
  </si>
  <si>
    <t>CUST102</t>
  </si>
  <si>
    <t>CUST103</t>
  </si>
  <si>
    <t>Nadia Bell</t>
  </si>
  <si>
    <t>CUST104</t>
  </si>
  <si>
    <t>Olivia Williams</t>
  </si>
  <si>
    <t>CUST105</t>
  </si>
  <si>
    <t>CUST106</t>
  </si>
  <si>
    <t>CUST107</t>
  </si>
  <si>
    <t>Emma Williams</t>
  </si>
  <si>
    <t>CUST108</t>
  </si>
  <si>
    <t>CUST109</t>
  </si>
  <si>
    <t>CUST110</t>
  </si>
  <si>
    <t>Daniel Wilson</t>
  </si>
  <si>
    <t>CUST111</t>
  </si>
  <si>
    <t>CUST112</t>
  </si>
  <si>
    <t>CUST113</t>
  </si>
  <si>
    <t>CUST114</t>
  </si>
  <si>
    <t>Liam Taylor</t>
  </si>
  <si>
    <t>CUST115</t>
  </si>
  <si>
    <t>Freya Baker</t>
  </si>
  <si>
    <t>CUST116</t>
  </si>
  <si>
    <t>Sarah Bell</t>
  </si>
  <si>
    <t>CUST117</t>
  </si>
  <si>
    <t>Owen Davies</t>
  </si>
  <si>
    <t>CUST118</t>
  </si>
  <si>
    <t>CUST119</t>
  </si>
  <si>
    <t>Liam Shah</t>
  </si>
  <si>
    <t>CUST120</t>
  </si>
  <si>
    <t>Priya Evans</t>
  </si>
  <si>
    <t>CUST121</t>
  </si>
  <si>
    <t>CUST122</t>
  </si>
  <si>
    <t>Finn Wilson</t>
  </si>
  <si>
    <t>CUST123</t>
  </si>
  <si>
    <t>CUST124</t>
  </si>
  <si>
    <t>Monitor 27In</t>
  </si>
  <si>
    <t>CUST125</t>
  </si>
  <si>
    <t>CUST126</t>
  </si>
  <si>
    <t>Amelia Green</t>
  </si>
  <si>
    <t>CUST127</t>
  </si>
  <si>
    <t>CUST128</t>
  </si>
  <si>
    <t>CUST129</t>
  </si>
  <si>
    <t>CUST130</t>
  </si>
  <si>
    <t>CUST131</t>
  </si>
  <si>
    <t>CUST132</t>
  </si>
  <si>
    <t>Freya Williams</t>
  </si>
  <si>
    <t>CUST133</t>
  </si>
  <si>
    <t>CUST134</t>
  </si>
  <si>
    <t>CUST135</t>
  </si>
  <si>
    <t>Owen Williams</t>
  </si>
  <si>
    <t>CUST136</t>
  </si>
  <si>
    <t>Hana Walker</t>
  </si>
  <si>
    <t>CUST137</t>
  </si>
  <si>
    <t>CUST138</t>
  </si>
  <si>
    <t>Hannah Roberts</t>
  </si>
  <si>
    <t>CUST139</t>
  </si>
  <si>
    <t>Nina Adams</t>
  </si>
  <si>
    <t>CUST140</t>
  </si>
  <si>
    <t>Ben Thomas</t>
  </si>
  <si>
    <t>CUST141</t>
  </si>
  <si>
    <t>CUST142</t>
  </si>
  <si>
    <t>Hoodie L</t>
  </si>
  <si>
    <t>CUST143</t>
  </si>
  <si>
    <t>Mohammed Jones</t>
  </si>
  <si>
    <t>CUST144</t>
  </si>
  <si>
    <t>Callum Singh</t>
  </si>
  <si>
    <t>CUST145</t>
  </si>
  <si>
    <t>CUST146</t>
  </si>
  <si>
    <t>CUST147</t>
  </si>
  <si>
    <t>Liam Williams</t>
  </si>
  <si>
    <t>CUST148</t>
  </si>
  <si>
    <t>Mia Foster</t>
  </si>
  <si>
    <t>CUST149</t>
  </si>
  <si>
    <t>CUST150</t>
  </si>
  <si>
    <t>Sarah Cox</t>
  </si>
  <si>
    <t>EmployeeID</t>
  </si>
  <si>
    <t>Full Name</t>
  </si>
  <si>
    <t>Department</t>
  </si>
  <si>
    <t>Hire Date</t>
  </si>
  <si>
    <t>Annual Salary</t>
  </si>
  <si>
    <t>Performance Score</t>
  </si>
  <si>
    <t>Email</t>
  </si>
  <si>
    <t>Contract Type</t>
  </si>
  <si>
    <t>EMP001</t>
  </si>
  <si>
    <t>LUCAS COX</t>
  </si>
  <si>
    <t>Finance</t>
  </si>
  <si>
    <t xml:space="preserve"> 33925 </t>
  </si>
  <si>
    <t>lucas.cox@novamart.co.uk</t>
  </si>
  <si>
    <t>Apprenticeship</t>
  </si>
  <si>
    <t>EMP002</t>
  </si>
  <si>
    <t xml:space="preserve"> Ben  Jones </t>
  </si>
  <si>
    <t>Information Technology</t>
  </si>
  <si>
    <t>03.06.2021</t>
  </si>
  <si>
    <t>£27,508</t>
  </si>
  <si>
    <t>ben.jones@novamart.co.uk</t>
  </si>
  <si>
    <t>Permanent</t>
  </si>
  <si>
    <t>EMP003</t>
  </si>
  <si>
    <t>jack wright</t>
  </si>
  <si>
    <t>I.T.</t>
  </si>
  <si>
    <t>£57268</t>
  </si>
  <si>
    <t>jack.wright@novamart.co.uk</t>
  </si>
  <si>
    <t>Fixed-Term</t>
  </si>
  <si>
    <t>EMP004</t>
  </si>
  <si>
    <t>HARRY JONES</t>
  </si>
  <si>
    <t>Logis.</t>
  </si>
  <si>
    <t>harry.jones@novamart.co.uk</t>
  </si>
  <si>
    <t>Contractor</t>
  </si>
  <si>
    <t>EMP005</t>
  </si>
  <si>
    <t>priya malik</t>
  </si>
  <si>
    <t>SALES</t>
  </si>
  <si>
    <t>64232.00</t>
  </si>
  <si>
    <t>priya.malik@novamart.co.uk</t>
  </si>
  <si>
    <t>EMP006</t>
  </si>
  <si>
    <t>Daniel Rao</t>
  </si>
  <si>
    <t>Operations</t>
  </si>
  <si>
    <t>daniel.rao@novamart.co.uk</t>
  </si>
  <si>
    <t>EMP007</t>
  </si>
  <si>
    <t>james cooper</t>
  </si>
  <si>
    <t>£48,539</t>
  </si>
  <si>
    <t>james.cooper@novamart.co.uk</t>
  </si>
  <si>
    <t>Part-Time</t>
  </si>
  <si>
    <t>EMP008</t>
  </si>
  <si>
    <t>Emma Johnson</t>
  </si>
  <si>
    <t>finance</t>
  </si>
  <si>
    <t>58272.00</t>
  </si>
  <si>
    <t>emma.johnson@novamart.co.uk</t>
  </si>
  <si>
    <t>EMP009</t>
  </si>
  <si>
    <t>Callum Adams</t>
  </si>
  <si>
    <t xml:space="preserve">Sales </t>
  </si>
  <si>
    <t>48046</t>
  </si>
  <si>
    <t>EMP010</t>
  </si>
  <si>
    <t>Zara Williams</t>
  </si>
  <si>
    <t>22.07.2017</t>
  </si>
  <si>
    <t>£79551</t>
  </si>
  <si>
    <t>zara.williams@novamart.co.uk</t>
  </si>
  <si>
    <t>EMP011</t>
  </si>
  <si>
    <t xml:space="preserve"> Freya  Wright </t>
  </si>
  <si>
    <t>OPERATIONS</t>
  </si>
  <si>
    <t>54523.00</t>
  </si>
  <si>
    <t>freya.wright@novamart.co.uk</t>
  </si>
  <si>
    <t>EMP012</t>
  </si>
  <si>
    <t>Tara Bell</t>
  </si>
  <si>
    <t>£50,296</t>
  </si>
  <si>
    <t>tara.bell@novamart.co.uk</t>
  </si>
  <si>
    <t>EMP013</t>
  </si>
  <si>
    <t>EMMA WRIGHT</t>
  </si>
  <si>
    <t>50386.00</t>
  </si>
  <si>
    <t>emma.wright@novamart.co.uk</t>
  </si>
  <si>
    <t>EMP014</t>
  </si>
  <si>
    <t>Sophie Smith</t>
  </si>
  <si>
    <t>logistics</t>
  </si>
  <si>
    <t>55281</t>
  </si>
  <si>
    <t>sophie.smith@novamart.co.uk</t>
  </si>
  <si>
    <t>EMP015</t>
  </si>
  <si>
    <t>Lily Singh</t>
  </si>
  <si>
    <t>Sales</t>
  </si>
  <si>
    <t xml:space="preserve"> 59209 </t>
  </si>
  <si>
    <t>lily.singh@novamart.co.uk</t>
  </si>
  <si>
    <t>EMP016</t>
  </si>
  <si>
    <t>max wright</t>
  </si>
  <si>
    <t>LOGISTICS</t>
  </si>
  <si>
    <t xml:space="preserve"> 26839 </t>
  </si>
  <si>
    <t>max.wright@novamart.co.uk</t>
  </si>
  <si>
    <t>EMP017</t>
  </si>
  <si>
    <t>Isla Khan</t>
  </si>
  <si>
    <t>32622.00</t>
  </si>
  <si>
    <t>isla.khan@novamart.co.uk</t>
  </si>
  <si>
    <t>EMP018</t>
  </si>
  <si>
    <t>JESS DAVIES</t>
  </si>
  <si>
    <t>CUSTOMER SERVICE</t>
  </si>
  <si>
    <t>65731</t>
  </si>
  <si>
    <t>EMP019</t>
  </si>
  <si>
    <t>BEN GUPTA</t>
  </si>
  <si>
    <t xml:space="preserve"> 73090 </t>
  </si>
  <si>
    <t>ben.gupta@novamart.co.uk</t>
  </si>
  <si>
    <t>EMP020</t>
  </si>
  <si>
    <t>Noah Wright</t>
  </si>
  <si>
    <t>Ops</t>
  </si>
  <si>
    <t>21.06.2021</t>
  </si>
  <si>
    <t xml:space="preserve"> 42583 </t>
  </si>
  <si>
    <t>noah.wright@novamart.co.uk</t>
  </si>
  <si>
    <t>EMP021</t>
  </si>
  <si>
    <t>daniel ahmed</t>
  </si>
  <si>
    <t>Fin.</t>
  </si>
  <si>
    <t>£64,254</t>
  </si>
  <si>
    <t>daniel.ahmed@novamart.co.uk</t>
  </si>
  <si>
    <t>EMP022</t>
  </si>
  <si>
    <t xml:space="preserve"> James  Ali </t>
  </si>
  <si>
    <t>MARKETING</t>
  </si>
  <si>
    <t>31586.00</t>
  </si>
  <si>
    <t>james.ali@novamart.co.uk</t>
  </si>
  <si>
    <t>EMP023</t>
  </si>
  <si>
    <t>lucas baker</t>
  </si>
  <si>
    <t>HR</t>
  </si>
  <si>
    <t>£30,167</t>
  </si>
  <si>
    <t>lucas.baker@novamart.co.uk</t>
  </si>
  <si>
    <t>EMP024</t>
  </si>
  <si>
    <t>Ryan Khan</t>
  </si>
  <si>
    <t>Human Res.</t>
  </si>
  <si>
    <t>ryan.khan@novamart.co.uk</t>
  </si>
  <si>
    <t>EMP025</t>
  </si>
  <si>
    <t>Nadia Jones</t>
  </si>
  <si>
    <t>24971</t>
  </si>
  <si>
    <t>nadia.jones@novamart.co.uk</t>
  </si>
  <si>
    <t>EMP026</t>
  </si>
  <si>
    <t xml:space="preserve"> Isla  Williams </t>
  </si>
  <si>
    <t>Customer Service</t>
  </si>
  <si>
    <t>£78,449</t>
  </si>
  <si>
    <t>isla.williams@novamart.co.uk</t>
  </si>
  <si>
    <t>EMP027</t>
  </si>
  <si>
    <t>Sophie Cox</t>
  </si>
  <si>
    <t>Marketing</t>
  </si>
  <si>
    <t>£51561</t>
  </si>
  <si>
    <t>sophie.cox@novamart.co.uk</t>
  </si>
  <si>
    <t>EMP028</t>
  </si>
  <si>
    <t>Jack Williams</t>
  </si>
  <si>
    <t>£70151</t>
  </si>
  <si>
    <t>jack.williams@novamart.co.uk</t>
  </si>
  <si>
    <t>EMP029</t>
  </si>
  <si>
    <t>FINN REED</t>
  </si>
  <si>
    <t>£50,347</t>
  </si>
  <si>
    <t>finn.reed@novamart.co.uk</t>
  </si>
  <si>
    <t>EMP030</t>
  </si>
  <si>
    <t xml:space="preserve"> Fatima  Sharma </t>
  </si>
  <si>
    <t>fatima.sharma@novamart.co.uk</t>
  </si>
  <si>
    <t>EMP031</t>
  </si>
  <si>
    <t xml:space="preserve"> Amy  Green </t>
  </si>
  <si>
    <t xml:space="preserve"> 51265 </t>
  </si>
  <si>
    <t>EMP032</t>
  </si>
  <si>
    <t>Nadia Scott</t>
  </si>
  <si>
    <t>£47856</t>
  </si>
  <si>
    <t>nadia.scott@novamart.co.uk</t>
  </si>
  <si>
    <t>EMP033</t>
  </si>
  <si>
    <t>NOAH DAVIES</t>
  </si>
  <si>
    <t>Cust. Service</t>
  </si>
  <si>
    <t>noah.davies@novamart.co.uk</t>
  </si>
  <si>
    <t>EMP034</t>
  </si>
  <si>
    <t>Liam Wright</t>
  </si>
  <si>
    <t>14.09.2020</t>
  </si>
  <si>
    <t>37679</t>
  </si>
  <si>
    <t>liam.wright@novamart.co.uk</t>
  </si>
  <si>
    <t>EMP035</t>
  </si>
  <si>
    <t>isla walker</t>
  </si>
  <si>
    <t>isla.walker@novamart.co.uk</t>
  </si>
  <si>
    <t>EMP036</t>
  </si>
  <si>
    <t xml:space="preserve"> Mohammed  Morris </t>
  </si>
  <si>
    <t>£73,429</t>
  </si>
  <si>
    <t>mohammed.morris@novamart.co.uk</t>
  </si>
  <si>
    <t>EMP037</t>
  </si>
  <si>
    <t>19.11.2022</t>
  </si>
  <si>
    <t xml:space="preserve"> 51381 </t>
  </si>
  <si>
    <t>EMP038</t>
  </si>
  <si>
    <t>george khan</t>
  </si>
  <si>
    <t xml:space="preserve"> 71396 </t>
  </si>
  <si>
    <t>george.khan@novamart.co.uk</t>
  </si>
  <si>
    <t>EMP039</t>
  </si>
  <si>
    <t>GRACE HUSSAIN</t>
  </si>
  <si>
    <t xml:space="preserve"> 61045 </t>
  </si>
  <si>
    <t>grace.hussain@novamart.co.uk</t>
  </si>
  <si>
    <t>EMP040</t>
  </si>
  <si>
    <t>Nina Rao</t>
  </si>
  <si>
    <t>marketing</t>
  </si>
  <si>
    <t xml:space="preserve"> 31607 </t>
  </si>
  <si>
    <t>nina.rao@novamart.co.uk</t>
  </si>
  <si>
    <t>EMP041</t>
  </si>
  <si>
    <t>Adam Thomas</t>
  </si>
  <si>
    <t>adam.thomas@novamart.co.uk</t>
  </si>
  <si>
    <t>EMP042</t>
  </si>
  <si>
    <t>Priya Murphy</t>
  </si>
  <si>
    <t>£42,236</t>
  </si>
  <si>
    <t>priya.murphy@novamart.co.uk</t>
  </si>
  <si>
    <t>EMP043</t>
  </si>
  <si>
    <t>Ryan Green</t>
  </si>
  <si>
    <t>£72,651</t>
  </si>
  <si>
    <t>ryan.green@novamart.co.uk</t>
  </si>
  <si>
    <t>EMP044</t>
  </si>
  <si>
    <t>Harry Scott</t>
  </si>
  <si>
    <t>39364</t>
  </si>
  <si>
    <t>harry.scott@novamart.co.uk</t>
  </si>
  <si>
    <t>EMP045</t>
  </si>
  <si>
    <t>mia ward</t>
  </si>
  <si>
    <t>£59911</t>
  </si>
  <si>
    <t>mia.ward@novamart.co.uk</t>
  </si>
  <si>
    <t>EMP046</t>
  </si>
  <si>
    <t xml:space="preserve"> Olivia  Ahmed </t>
  </si>
  <si>
    <t>it</t>
  </si>
  <si>
    <t>£47122</t>
  </si>
  <si>
    <t>olivia.ahmed@novamart.co.uk</t>
  </si>
  <si>
    <t>EMP047</t>
  </si>
  <si>
    <t>Amelia Davies</t>
  </si>
  <si>
    <t>amelia.davies@novamart.co.uk</t>
  </si>
  <si>
    <t>EMP048</t>
  </si>
  <si>
    <t>Emma Bailey</t>
  </si>
  <si>
    <t>Mktg</t>
  </si>
  <si>
    <t>emma.bailey@novamart.co.uk</t>
  </si>
  <si>
    <t>EMP049</t>
  </si>
  <si>
    <t>Sarah Walker</t>
  </si>
  <si>
    <t>FINANCE</t>
  </si>
  <si>
    <t>12.08.2017</t>
  </si>
  <si>
    <t>70632.00</t>
  </si>
  <si>
    <t>EMP050</t>
  </si>
  <si>
    <t>owen baker</t>
  </si>
  <si>
    <t>£75920</t>
  </si>
  <si>
    <t>owen.baker@novamart.co.uk</t>
  </si>
  <si>
    <t>EMP051</t>
  </si>
  <si>
    <t>ravi king</t>
  </si>
  <si>
    <t>24.07.2021</t>
  </si>
  <si>
    <t>47604.00</t>
  </si>
  <si>
    <t>EMP052</t>
  </si>
  <si>
    <t>jack morris</t>
  </si>
  <si>
    <t>£38686</t>
  </si>
  <si>
    <t>jack.morris@novamart.co.uk</t>
  </si>
  <si>
    <t>EMP053</t>
  </si>
  <si>
    <t>olivia baker</t>
  </si>
  <si>
    <t>10.09.2020</t>
  </si>
  <si>
    <t xml:space="preserve"> 53984 </t>
  </si>
  <si>
    <t>olivia.baker@novamart.co.uk</t>
  </si>
  <si>
    <t>EMP054</t>
  </si>
  <si>
    <t>HARRY SINGH</t>
  </si>
  <si>
    <t>customer service</t>
  </si>
  <si>
    <t>£74160</t>
  </si>
  <si>
    <t>harry.singh@novamart.co.uk</t>
  </si>
  <si>
    <t>EMP055</t>
  </si>
  <si>
    <t>TARA JOHNSON</t>
  </si>
  <si>
    <t>16.03.2018</t>
  </si>
  <si>
    <t>61414</t>
  </si>
  <si>
    <t>tara.johnson@novamart.co.uk</t>
  </si>
  <si>
    <t>EMP056</t>
  </si>
  <si>
    <t>Sarah Taylor</t>
  </si>
  <si>
    <t xml:space="preserve"> 31072 </t>
  </si>
  <si>
    <t>sarah.taylor@novamart.co.uk</t>
  </si>
  <si>
    <t>EMP057</t>
  </si>
  <si>
    <t>Jess Taylor</t>
  </si>
  <si>
    <t xml:space="preserve"> 74808 </t>
  </si>
  <si>
    <t>jess.taylor@novamart.co.uk</t>
  </si>
  <si>
    <t>EMP058</t>
  </si>
  <si>
    <t>noah bailey</t>
  </si>
  <si>
    <t>05.01.2022</t>
  </si>
  <si>
    <t>£69,388</t>
  </si>
  <si>
    <t>noah.bailey@novamart.co.uk</t>
  </si>
  <si>
    <t>EMP059</t>
  </si>
  <si>
    <t xml:space="preserve"> Ryan  Bell </t>
  </si>
  <si>
    <t>45514.00</t>
  </si>
  <si>
    <t>ryan.bell@novamart.co.uk</t>
  </si>
  <si>
    <t>EMP060</t>
  </si>
  <si>
    <t>OLIVIA WRIGHT</t>
  </si>
  <si>
    <t>29897</t>
  </si>
  <si>
    <t>olivia.wright@novamart.co.uk</t>
  </si>
  <si>
    <t>EMP061</t>
  </si>
  <si>
    <t>freya walker</t>
  </si>
  <si>
    <t>72809.00</t>
  </si>
  <si>
    <t>freya.walker@novamart.co.uk</t>
  </si>
  <si>
    <t>EMP062</t>
  </si>
  <si>
    <t>Priya Cooper</t>
  </si>
  <si>
    <t>22.01.2021</t>
  </si>
  <si>
    <t xml:space="preserve"> 78671 </t>
  </si>
  <si>
    <t>priya.cooper@novamart.co.uk</t>
  </si>
  <si>
    <t>EMP063</t>
  </si>
  <si>
    <t>£34,189</t>
  </si>
  <si>
    <t>sophie.williams@novamart.co.uk</t>
  </si>
  <si>
    <t>EMP064</t>
  </si>
  <si>
    <t>Freya Hussain</t>
  </si>
  <si>
    <t>65186.00</t>
  </si>
  <si>
    <t>freya.hussain@novamart.co.uk</t>
  </si>
  <si>
    <t>EMP065</t>
  </si>
  <si>
    <t>Sam Wilson</t>
  </si>
  <si>
    <t>£30971</t>
  </si>
  <si>
    <t>sam.wilson@novamart.co.uk</t>
  </si>
  <si>
    <t>EMP066</t>
  </si>
  <si>
    <t>23.08.2017</t>
  </si>
  <si>
    <t>41048.00</t>
  </si>
  <si>
    <t>EMP067</t>
  </si>
  <si>
    <t>Finn Hussain</t>
  </si>
  <si>
    <t>29.12.2016</t>
  </si>
  <si>
    <t>59280</t>
  </si>
  <si>
    <t>EMP068</t>
  </si>
  <si>
    <t>nina clarke</t>
  </si>
  <si>
    <t>£25648</t>
  </si>
  <si>
    <t>nina.clarke@novamart.co.uk</t>
  </si>
  <si>
    <t>EMP069</t>
  </si>
  <si>
    <t>LUKE SMITH</t>
  </si>
  <si>
    <t>06.09.2016</t>
  </si>
  <si>
    <t xml:space="preserve"> 54915 </t>
  </si>
  <si>
    <t>luke.smith@novamart.co.uk</t>
  </si>
  <si>
    <t>EMP070</t>
  </si>
  <si>
    <t>11.02.2021</t>
  </si>
  <si>
    <t>£37,679</t>
  </si>
  <si>
    <t>tara.ali@novamart.co.uk</t>
  </si>
  <si>
    <t>EMP071</t>
  </si>
  <si>
    <t xml:space="preserve"> George  King </t>
  </si>
  <si>
    <t>67033.00</t>
  </si>
  <si>
    <t>george.king@novamart.co.uk</t>
  </si>
  <si>
    <t>EMP072</t>
  </si>
  <si>
    <t xml:space="preserve"> Ravi  Williams </t>
  </si>
  <si>
    <t>19.02.2018</t>
  </si>
  <si>
    <t xml:space="preserve"> 49300 </t>
  </si>
  <si>
    <t>ravi.williams@novamart.co.uk</t>
  </si>
  <si>
    <t>EMP073</t>
  </si>
  <si>
    <t>Maya Rao</t>
  </si>
  <si>
    <t>£50969</t>
  </si>
  <si>
    <t>maya.rao@novamart.co.uk</t>
  </si>
  <si>
    <t>EMP074</t>
  </si>
  <si>
    <t>OWEN WARD</t>
  </si>
  <si>
    <t xml:space="preserve"> 63234 </t>
  </si>
  <si>
    <t>owen.ward@novamart.co.uk</t>
  </si>
  <si>
    <t>EMP075</t>
  </si>
  <si>
    <t>luke thomas</t>
  </si>
  <si>
    <t>49207.00</t>
  </si>
  <si>
    <t>luke.thomas@novamart.co.uk</t>
  </si>
  <si>
    <t>EMP076</t>
  </si>
  <si>
    <t>James Morris</t>
  </si>
  <si>
    <t>03.10.2016</t>
  </si>
  <si>
    <t>£71082</t>
  </si>
  <si>
    <t>EMP077</t>
  </si>
  <si>
    <t>Luke Bell</t>
  </si>
  <si>
    <t>£50,955</t>
  </si>
  <si>
    <t>EMP078</t>
  </si>
  <si>
    <t>ravi malik</t>
  </si>
  <si>
    <t>34583</t>
  </si>
  <si>
    <t>ravi.malik@novamart.co.uk</t>
  </si>
  <si>
    <t>EMP079</t>
  </si>
  <si>
    <t xml:space="preserve"> Maya  Adams </t>
  </si>
  <si>
    <t>12.05.2022</t>
  </si>
  <si>
    <t>£69803</t>
  </si>
  <si>
    <t>maya.adams@novamart.co.uk</t>
  </si>
  <si>
    <t>EMP080</t>
  </si>
  <si>
    <t>Daniel Wright</t>
  </si>
  <si>
    <t>17.02.2018</t>
  </si>
  <si>
    <t>22374</t>
  </si>
  <si>
    <t>daniel.wright@novamart.co.uk</t>
  </si>
  <si>
    <t>Performance Score 2</t>
  </si>
  <si>
    <t>Job Grade, Manager, and Office Location</t>
  </si>
  <si>
    <t>Manager Vlookup</t>
  </si>
  <si>
    <t>Lucas Cox</t>
  </si>
  <si>
    <t>Ben Jones</t>
  </si>
  <si>
    <t>IT</t>
  </si>
  <si>
    <t>Jack Wright</t>
  </si>
  <si>
    <t>Harry Jones</t>
  </si>
  <si>
    <t>Logistics</t>
  </si>
  <si>
    <t>Priya Malik</t>
  </si>
  <si>
    <t>James Cooper</t>
  </si>
  <si>
    <t>N/A</t>
  </si>
  <si>
    <t>Freya Wright</t>
  </si>
  <si>
    <t>Emma Wright</t>
  </si>
  <si>
    <t>Max Wright</t>
  </si>
  <si>
    <t>Jess Davies</t>
  </si>
  <si>
    <t>Ben Gupta</t>
  </si>
  <si>
    <t>Daniel Ahmed</t>
  </si>
  <si>
    <t>James Ali</t>
  </si>
  <si>
    <t>Lucas Baker</t>
  </si>
  <si>
    <t>Isla Williams</t>
  </si>
  <si>
    <t>Finn Reed</t>
  </si>
  <si>
    <t>Fatima Sharma</t>
  </si>
  <si>
    <t>Noah Davies</t>
  </si>
  <si>
    <t>Isla Walker</t>
  </si>
  <si>
    <t>Mohammed Morris</t>
  </si>
  <si>
    <t>George Khan</t>
  </si>
  <si>
    <t>Grace Hussain</t>
  </si>
  <si>
    <t>Mia Ward</t>
  </si>
  <si>
    <t>Olivia Ahmed</t>
  </si>
  <si>
    <t>Owen Baker</t>
  </si>
  <si>
    <t>Ravi King</t>
  </si>
  <si>
    <t>Jack Morris</t>
  </si>
  <si>
    <t>Olivia Baker</t>
  </si>
  <si>
    <t>Harry Singh</t>
  </si>
  <si>
    <t>Tara Johnson</t>
  </si>
  <si>
    <t>Noah Bailey</t>
  </si>
  <si>
    <t>Ryan Bell</t>
  </si>
  <si>
    <t>Olivia Wright</t>
  </si>
  <si>
    <t>Freya Walker</t>
  </si>
  <si>
    <t>Nina Clarke</t>
  </si>
  <si>
    <t>Luke Smith</t>
  </si>
  <si>
    <t>Ravi Williams</t>
  </si>
  <si>
    <t>Owen Ward</t>
  </si>
  <si>
    <t>Luke Thomas</t>
  </si>
  <si>
    <t>EMP081</t>
  </si>
  <si>
    <t>Ravi Malik</t>
  </si>
  <si>
    <t>EMP082</t>
  </si>
  <si>
    <t>Maya Adams</t>
  </si>
  <si>
    <t>EMP083</t>
  </si>
  <si>
    <t>Stock Level</t>
  </si>
  <si>
    <t>Reorder Level</t>
  </si>
  <si>
    <t>Active</t>
  </si>
  <si>
    <t>Elec.</t>
  </si>
  <si>
    <t>No</t>
  </si>
  <si>
    <t>Electronics</t>
  </si>
  <si>
    <t>YES</t>
  </si>
  <si>
    <t>ELECTRONICS</t>
  </si>
  <si>
    <t>yes</t>
  </si>
  <si>
    <t>electronics</t>
  </si>
  <si>
    <t>FURNITURE</t>
  </si>
  <si>
    <t>furniture</t>
  </si>
  <si>
    <t>no</t>
  </si>
  <si>
    <t>Furniture</t>
  </si>
  <si>
    <t>TRUE</t>
  </si>
  <si>
    <t>stationery</t>
  </si>
  <si>
    <t>Stationery</t>
  </si>
  <si>
    <t>Stat.</t>
  </si>
  <si>
    <t>FALSE</t>
  </si>
  <si>
    <t>Yes</t>
  </si>
  <si>
    <t>STATIONERY</t>
  </si>
  <si>
    <t>SPORTSWEAR</t>
  </si>
  <si>
    <t>Sportswear</t>
  </si>
  <si>
    <t>sportswear</t>
  </si>
  <si>
    <t>HEALTH</t>
  </si>
  <si>
    <t>Health &amp; Wellness</t>
  </si>
  <si>
    <t>health</t>
  </si>
  <si>
    <t>KITCHEN</t>
  </si>
  <si>
    <t>kitchen</t>
  </si>
  <si>
    <t>Kitchen &amp; Home</t>
  </si>
  <si>
    <t>Kitchen</t>
  </si>
  <si>
    <t>BOOKS</t>
  </si>
  <si>
    <t>books</t>
  </si>
  <si>
    <t>CLOTHING</t>
  </si>
  <si>
    <t>Clothing</t>
  </si>
  <si>
    <t>Apparel</t>
  </si>
  <si>
    <t>Health</t>
  </si>
  <si>
    <t>Books</t>
  </si>
  <si>
    <t>ReturnID</t>
  </si>
  <si>
    <t>Return Date</t>
  </si>
  <si>
    <t>Reason</t>
  </si>
  <si>
    <t>Refund Amount</t>
  </si>
  <si>
    <t>Resolved</t>
  </si>
  <si>
    <t>Days to Resolve</t>
  </si>
  <si>
    <t>RET001</t>
  </si>
  <si>
    <t>13.12.2023</t>
  </si>
  <si>
    <t>79.03</t>
  </si>
  <si>
    <t>RET002</t>
  </si>
  <si>
    <t>02.04.2023</t>
  </si>
  <si>
    <t>49.47</t>
  </si>
  <si>
    <t>RET003</t>
  </si>
  <si>
    <t>30/03/2024</t>
  </si>
  <si>
    <t>Defective</t>
  </si>
  <si>
    <t>103.68</t>
  </si>
  <si>
    <t>RET004</t>
  </si>
  <si>
    <t>16.11.2023</t>
  </si>
  <si>
    <t>Damaged</t>
  </si>
  <si>
    <t>66.55</t>
  </si>
  <si>
    <t>RET005</t>
  </si>
  <si>
    <t>18.01.2024</t>
  </si>
  <si>
    <t>Changed mind</t>
  </si>
  <si>
    <t>$225.68</t>
  </si>
  <si>
    <t>RET006</t>
  </si>
  <si>
    <t>Too large</t>
  </si>
  <si>
    <t>$29.39</t>
  </si>
  <si>
    <t>RET007</t>
  </si>
  <si>
    <t>19.08.2023</t>
  </si>
  <si>
    <t>Wrong item</t>
  </si>
  <si>
    <t>34.34</t>
  </si>
  <si>
    <t>RET008</t>
  </si>
  <si>
    <t>2023-03-30</t>
  </si>
  <si>
    <t>Not as described</t>
  </si>
  <si>
    <t>£9.80</t>
  </si>
  <si>
    <t>RET009</t>
  </si>
  <si>
    <t>01.12.2023</t>
  </si>
  <si>
    <t>$86.41</t>
  </si>
  <si>
    <t>RET010</t>
  </si>
  <si>
    <t>17-Jan-2023</t>
  </si>
  <si>
    <t>£111.71</t>
  </si>
  <si>
    <t>RET011</t>
  </si>
  <si>
    <t>2023-06-16</t>
  </si>
  <si>
    <t>Duplicate order</t>
  </si>
  <si>
    <t>288.26</t>
  </si>
  <si>
    <t>RET012</t>
  </si>
  <si>
    <t>03-Sep-2023</t>
  </si>
  <si>
    <t>£62.71</t>
  </si>
  <si>
    <t>RET013</t>
  </si>
  <si>
    <t>21/01/2023</t>
  </si>
  <si>
    <t>$204.30</t>
  </si>
  <si>
    <t>RET014</t>
  </si>
  <si>
    <t>23-Feb-2023</t>
  </si>
  <si>
    <t>$153.42</t>
  </si>
  <si>
    <t>RET015</t>
  </si>
  <si>
    <t>August 07 2023</t>
  </si>
  <si>
    <t>$53.56</t>
  </si>
  <si>
    <t>RET016</t>
  </si>
  <si>
    <t>08-Jan-2024</t>
  </si>
  <si>
    <t>£282.52</t>
  </si>
  <si>
    <t>RET017</t>
  </si>
  <si>
    <t>2023-03-16</t>
  </si>
  <si>
    <t>$99.99</t>
  </si>
  <si>
    <t>RET018</t>
  </si>
  <si>
    <t>30.07.2023</t>
  </si>
  <si>
    <t>£224.38</t>
  </si>
  <si>
    <t>RET019</t>
  </si>
  <si>
    <t>01-May-2024</t>
  </si>
  <si>
    <t>£165.60</t>
  </si>
  <si>
    <t>RET020</t>
  </si>
  <si>
    <t>2023-09-29</t>
  </si>
  <si>
    <t>£160.28</t>
  </si>
  <si>
    <t>RET021</t>
  </si>
  <si>
    <t>15-Nov-2023</t>
  </si>
  <si>
    <t>146.41</t>
  </si>
  <si>
    <t>RET022</t>
  </si>
  <si>
    <t>28.01.2024</t>
  </si>
  <si>
    <t>£106.89</t>
  </si>
  <si>
    <t>RET023</t>
  </si>
  <si>
    <t>£88.09</t>
  </si>
  <si>
    <t>RET024</t>
  </si>
  <si>
    <t>June 03 2023</t>
  </si>
  <si>
    <t>£180.30</t>
  </si>
  <si>
    <t>RET025</t>
  </si>
  <si>
    <t>19/11/2023</t>
  </si>
  <si>
    <t>52.19</t>
  </si>
  <si>
    <t>RET026</t>
  </si>
  <si>
    <t>13-Apr-2023</t>
  </si>
  <si>
    <t>$296.82</t>
  </si>
  <si>
    <t>RET027</t>
  </si>
  <si>
    <t>April 15 2024</t>
  </si>
  <si>
    <t>£3.39</t>
  </si>
  <si>
    <t>RET028</t>
  </si>
  <si>
    <t>18.11.2023</t>
  </si>
  <si>
    <t>£160.79</t>
  </si>
  <si>
    <t>RET029</t>
  </si>
  <si>
    <t>03-Dec-2023</t>
  </si>
  <si>
    <t>11.97</t>
  </si>
  <si>
    <t>RET030</t>
  </si>
  <si>
    <t>05.03.2024</t>
  </si>
  <si>
    <t>Too small</t>
  </si>
  <si>
    <t>£83.23</t>
  </si>
  <si>
    <t>RET031</t>
  </si>
  <si>
    <t>June 15 2023</t>
  </si>
  <si>
    <t>£36.63</t>
  </si>
  <si>
    <t>RET032</t>
  </si>
  <si>
    <t>July 30 2023</t>
  </si>
  <si>
    <t>£193.21</t>
  </si>
  <si>
    <t>RET033</t>
  </si>
  <si>
    <t>22/06/2024</t>
  </si>
  <si>
    <t>155.47</t>
  </si>
  <si>
    <t>RET034</t>
  </si>
  <si>
    <t>July 04 2023</t>
  </si>
  <si>
    <t>77.11</t>
  </si>
  <si>
    <t>RET035</t>
  </si>
  <si>
    <t>October 11 2023</t>
  </si>
  <si>
    <t>26.68</t>
  </si>
  <si>
    <t>RET036</t>
  </si>
  <si>
    <t>2023-07-17</t>
  </si>
  <si>
    <t>£16.94</t>
  </si>
  <si>
    <t>RET037</t>
  </si>
  <si>
    <t>June 04 2024</t>
  </si>
  <si>
    <t>£93.71</t>
  </si>
  <si>
    <t>RET038</t>
  </si>
  <si>
    <t>28-Nov-2023</t>
  </si>
  <si>
    <t>24.61</t>
  </si>
  <si>
    <t>RET039</t>
  </si>
  <si>
    <t>2024-01-05</t>
  </si>
  <si>
    <t>£103.31</t>
  </si>
  <si>
    <t>RET040</t>
  </si>
  <si>
    <t>19/03/2024</t>
  </si>
  <si>
    <t>114.13</t>
  </si>
  <si>
    <t>RET041</t>
  </si>
  <si>
    <t>June 10 2023</t>
  </si>
  <si>
    <t>214.56</t>
  </si>
  <si>
    <t>RET042</t>
  </si>
  <si>
    <t>December 20 2023</t>
  </si>
  <si>
    <t>£257.54</t>
  </si>
  <si>
    <t>RET043</t>
  </si>
  <si>
    <t>15.09.2023</t>
  </si>
  <si>
    <t>£217.64</t>
  </si>
  <si>
    <t>RET044</t>
  </si>
  <si>
    <t>March 19 2023</t>
  </si>
  <si>
    <t>$281.01</t>
  </si>
  <si>
    <t>RET045</t>
  </si>
  <si>
    <t>27.10.2023</t>
  </si>
  <si>
    <t>$286.76</t>
  </si>
  <si>
    <t>RET046</t>
  </si>
  <si>
    <t>19-Mar-2024</t>
  </si>
  <si>
    <t>£298.49</t>
  </si>
  <si>
    <t>RET047</t>
  </si>
  <si>
    <t>05-May-2023</t>
  </si>
  <si>
    <t>$92.28</t>
  </si>
  <si>
    <t>RET048</t>
  </si>
  <si>
    <t>October 06 2023</t>
  </si>
  <si>
    <t>£52.18</t>
  </si>
  <si>
    <t>RET049</t>
  </si>
  <si>
    <t>March 21 2024</t>
  </si>
  <si>
    <t>£192.80</t>
  </si>
  <si>
    <t>RET050</t>
  </si>
  <si>
    <t>11/01/2024</t>
  </si>
  <si>
    <t>£19.20</t>
  </si>
  <si>
    <t>Unknown</t>
  </si>
  <si>
    <t>Region Code</t>
  </si>
  <si>
    <t>Full Region Name</t>
  </si>
  <si>
    <t>Regional Manager</t>
  </si>
  <si>
    <t>Sales Target £</t>
  </si>
  <si>
    <t>Population (m)</t>
  </si>
  <si>
    <t>Monthly Targets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</si>
  <si>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</si>
  <si>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</si>
  <si>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</si>
  <si>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</si>
  <si>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</si>
  <si>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</si>
  <si>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</si>
  <si>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</si>
  <si>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</si>
  <si>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</si>
  <si>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</si>
  <si>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</si>
  <si>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J. Carter</t>
  </si>
  <si>
    <t>R. Okafor</t>
  </si>
  <si>
    <t>L. Bennett</t>
  </si>
  <si>
    <t>S. Hughes</t>
  </si>
  <si>
    <t>M. Patel</t>
  </si>
  <si>
    <t>D. Morgan</t>
  </si>
  <si>
    <t>A. Singh</t>
  </si>
  <si>
    <t>T. Williams</t>
  </si>
  <si>
    <t>Cost Price</t>
  </si>
  <si>
    <t>Supplier</t>
  </si>
  <si>
    <t>Min Order Qty</t>
  </si>
  <si>
    <t>Lead Days</t>
  </si>
  <si>
    <t>GlobalGoods Co</t>
  </si>
  <si>
    <t>USB-C Hub</t>
  </si>
  <si>
    <t>DirectBuy</t>
  </si>
  <si>
    <t>FastMart</t>
  </si>
  <si>
    <t>Monitor 27in</t>
  </si>
  <si>
    <t>TechSource Ltd</t>
  </si>
  <si>
    <t>Webcam HD</t>
  </si>
  <si>
    <t>QuickShip UK</t>
  </si>
  <si>
    <t>Ballpoint Pens x10</t>
  </si>
  <si>
    <t>EuroTrade</t>
  </si>
  <si>
    <t>Protein Powder 1kg</t>
  </si>
  <si>
    <t>Vitamin D 90tabs</t>
  </si>
  <si>
    <t>Jeans 32x32</t>
  </si>
  <si>
    <t>Job Grade</t>
  </si>
  <si>
    <t>Manager</t>
  </si>
  <si>
    <t>Office Location</t>
  </si>
  <si>
    <t>Director</t>
  </si>
  <si>
    <t>Birmingham</t>
  </si>
  <si>
    <t>Senior</t>
  </si>
  <si>
    <t>Belfast</t>
  </si>
  <si>
    <t>Edinburgh</t>
  </si>
  <si>
    <t>Junior</t>
  </si>
  <si>
    <t>Manchester</t>
  </si>
  <si>
    <t>Cardiff</t>
  </si>
  <si>
    <t>Lead</t>
  </si>
  <si>
    <t>London</t>
  </si>
  <si>
    <t>Mid</t>
  </si>
  <si>
    <t>Min Price</t>
  </si>
  <si>
    <t>Max Price</t>
  </si>
  <si>
    <t>Band</t>
  </si>
  <si>
    <t>Discount %</t>
  </si>
  <si>
    <t>Free Shipping</t>
  </si>
  <si>
    <t>Budget</t>
  </si>
  <si>
    <t>Standard</t>
  </si>
  <si>
    <t>Mid-Range</t>
  </si>
  <si>
    <t>Premium</t>
  </si>
  <si>
    <t>High-End</t>
  </si>
  <si>
    <t>Luxury</t>
  </si>
  <si>
    <t>Revenue Trend</t>
  </si>
  <si>
    <t>Sum of Total Revenue Per Purchase</t>
  </si>
  <si>
    <t>2023</t>
  </si>
  <si>
    <t>January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</si>
  <si>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</si>
  <si>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</si>
  <si>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</si>
  <si>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</si>
  <si>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</si>
  <si>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</si>
  <si>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</si>
  <si>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</si>
  <si>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</si>
  <si>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2023 Total</t>
  </si>
  <si>
    <t>2024</t>
  </si>
  <si>
    <t>Performance Score Per Annual Salary</t>
  </si>
  <si>
    <t>2024 Total</t>
  </si>
  <si>
    <t>Grand Total</t>
  </si>
  <si>
    <t>Orders Per Category</t>
  </si>
  <si>
    <t>Count of CustomerID</t>
  </si>
  <si>
    <t>Revenue Per Category</t>
  </si>
  <si>
    <t>Return By Reason</t>
  </si>
  <si>
    <t>Count of ReturnID</t>
  </si>
  <si>
    <t>Performance Score Per Department</t>
  </si>
  <si>
    <t>Count of Performance Score 2</t>
  </si>
  <si>
    <t>Excellent</t>
  </si>
  <si>
    <t>Good</t>
  </si>
  <si>
    <t>Marginal</t>
  </si>
  <si>
    <t>Poor</t>
  </si>
  <si>
    <t>Average Annual Salary Per Department</t>
  </si>
  <si>
    <t>Average of Annual Salary</t>
  </si>
  <si>
    <t>NovaMart Sales and Employees Dashboard</t>
  </si>
  <si>
    <t>Total Orders</t>
  </si>
  <si>
    <t>Total Revenue</t>
  </si>
  <si>
    <t>Total Employees</t>
  </si>
  <si>
    <t>Lowest Average Performance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</si>
</sst>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6">
    <font>
      <sz val="11"/>
      <color theme="1"/>
      <name val="Calibri"/>
      <family val="2"/>
      <scheme val="minor"/>
    </font>
    <font>
      <sz val="10"/>
      <color rgb="FF11111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0"/>
      <color theme="0"/>
      <name val="Calibri"/>
      <scheme val="minor"/>
    </font>
    <font>
      <sz val="10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0"/>
      <color theme="4"/>
      <name val="Calibri"/>
      <scheme val="minor"/>
    </font>
    <font>
      <b/>
      <sz val="10"/>
      <color theme="4"/>
      <name val="Calibri"/>
      <scheme val="minor"/>
    </font>
    <font>
      <sz val="28"/>
      <color theme="0" tint="-4.9989318521683403E-2"/>
      <name val="Calibri"/>
      <family val="2"/>
      <scheme val="minor"/>
    </font>
    <font>
      <sz val="28"/>
      <color rgb="FFFCE4D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rgb="FF000000"/>
      </top>
      <bottom style="thin">
        <color theme="4"/>
      </bottom>
      <diagonal/>
    </border>
    <border>
      <left/>
      <right/>
      <top style="thin">
        <color theme="8"/>
      </top>
      <bottom/>
      <diagonal/>
    </border>
    <border>
      <left/>
      <right/>
      <top/>
      <bottom style="thin">
        <color theme="8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15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3" fillId="0" borderId="0" xfId="0" applyNumberFormat="1" applyFont="1"/>
    <xf numFmtId="0" fontId="4" fillId="0" borderId="0" xfId="0" applyFont="1"/>
    <xf numFmtId="0" fontId="2" fillId="0" borderId="0" xfId="0" applyFont="1" applyAlignment="1"/>
    <xf numFmtId="1" fontId="2" fillId="0" borderId="0" xfId="0" applyNumberFormat="1" applyFont="1"/>
    <xf numFmtId="0" fontId="5" fillId="3" borderId="0" xfId="0" applyFont="1" applyFill="1"/>
    <xf numFmtId="49" fontId="2" fillId="0" borderId="0" xfId="0" applyNumberFormat="1" applyFont="1"/>
    <xf numFmtId="2" fontId="2" fillId="0" borderId="0" xfId="0" applyNumberFormat="1" applyFont="1"/>
    <xf numFmtId="14" fontId="6" fillId="0" borderId="0" xfId="0" applyNumberFormat="1" applyFont="1"/>
    <xf numFmtId="14" fontId="1" fillId="2" borderId="1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0" fontId="7" fillId="0" borderId="2" xfId="0" applyFont="1" applyBorder="1"/>
    <xf numFmtId="0" fontId="0" fillId="0" borderId="0" xfId="0" applyBorder="1"/>
    <xf numFmtId="0" fontId="7" fillId="2" borderId="2" xfId="0" applyFont="1" applyFill="1" applyBorder="1"/>
    <xf numFmtId="0" fontId="7" fillId="2" borderId="3" xfId="0" applyFont="1" applyFill="1" applyBorder="1"/>
    <xf numFmtId="0" fontId="8" fillId="0" borderId="0" xfId="0" applyFont="1" applyBorder="1"/>
    <xf numFmtId="0" fontId="8" fillId="0" borderId="2" xfId="0" applyFont="1" applyBorder="1"/>
    <xf numFmtId="0" fontId="9" fillId="0" borderId="4" xfId="0" applyFont="1" applyBorder="1"/>
    <xf numFmtId="0" fontId="10" fillId="0" borderId="4" xfId="0" applyFont="1" applyBorder="1"/>
    <xf numFmtId="0" fontId="10" fillId="0" borderId="0" xfId="0" applyFont="1"/>
    <xf numFmtId="0" fontId="10" fillId="0" borderId="5" xfId="0" applyFont="1" applyBorder="1"/>
    <xf numFmtId="0" fontId="0" fillId="0" borderId="0" xfId="0" pivotButton="1"/>
    <xf numFmtId="0" fontId="0" fillId="0" borderId="0" xfId="0" applyNumberFormat="1"/>
    <xf numFmtId="0" fontId="11" fillId="0" borderId="0" xfId="0" applyFont="1"/>
    <xf numFmtId="0" fontId="12" fillId="0" borderId="0" xfId="0" applyFont="1" applyBorder="1"/>
    <xf numFmtId="1" fontId="12" fillId="0" borderId="0" xfId="0" applyNumberFormat="1" applyFont="1" applyBorder="1"/>
    <xf numFmtId="0" fontId="12" fillId="0" borderId="2" xfId="0" applyFont="1" applyBorder="1"/>
    <xf numFmtId="1" fontId="12" fillId="0" borderId="2" xfId="0" applyNumberFormat="1" applyFont="1" applyBorder="1"/>
    <xf numFmtId="0" fontId="11" fillId="0" borderId="2" xfId="0" applyFont="1" applyBorder="1"/>
    <xf numFmtId="2" fontId="0" fillId="0" borderId="0" xfId="0" applyNumberFormat="1"/>
    <xf numFmtId="0" fontId="0" fillId="0" borderId="0" xfId="0" applyAlignment="1"/>
    <xf numFmtId="0" fontId="0" fillId="0" borderId="0" xfId="0" applyFill="1"/>
    <xf numFmtId="0" fontId="0" fillId="0" borderId="13" xfId="0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5" borderId="2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164" fontId="15" fillId="5" borderId="20" xfId="0" applyNumberFormat="1" applyFont="1" applyFill="1" applyBorder="1" applyAlignment="1">
      <alignment horizontal="center" vertical="center"/>
    </xf>
    <xf numFmtId="164" fontId="15" fillId="5" borderId="21" xfId="0" applyNumberFormat="1" applyFont="1" applyFill="1" applyBorder="1" applyAlignment="1">
      <alignment horizontal="center" vertical="center"/>
    </xf>
    <xf numFmtId="164" fontId="15" fillId="5" borderId="22" xfId="0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Calibri"/>
        <scheme val="minor"/>
      </font>
      <numFmt numFmtId="20" formatCode="dd\-mmm\-yy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Project.xlsx]PivotTables!PivotTable1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PivotTables!$A$4:$B$24</c:f>
              <c:multiLvlStrCache>
                <c:ptCount val="18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PivotTables!$C$4:$C$24</c:f>
              <c:numCache>
                <c:formatCode>General</c:formatCode>
                <c:ptCount val="18"/>
                <c:pt idx="0">
                  <c:v>5984.4</c:v>
                </c:pt>
                <c:pt idx="1">
                  <c:v>2304.3200000000002</c:v>
                </c:pt>
                <c:pt idx="2">
                  <c:v>3284.2200000000003</c:v>
                </c:pt>
                <c:pt idx="3">
                  <c:v>7853.2100000000009</c:v>
                </c:pt>
                <c:pt idx="4">
                  <c:v>6896.56</c:v>
                </c:pt>
                <c:pt idx="5">
                  <c:v>5447.48</c:v>
                </c:pt>
                <c:pt idx="6">
                  <c:v>5444.4800000000014</c:v>
                </c:pt>
                <c:pt idx="7">
                  <c:v>5059.6200000000008</c:v>
                </c:pt>
                <c:pt idx="8">
                  <c:v>3933.74</c:v>
                </c:pt>
                <c:pt idx="9">
                  <c:v>6405.34</c:v>
                </c:pt>
                <c:pt idx="10">
                  <c:v>8004.72</c:v>
                </c:pt>
                <c:pt idx="11">
                  <c:v>5664.79</c:v>
                </c:pt>
                <c:pt idx="12">
                  <c:v>6940.93</c:v>
                </c:pt>
                <c:pt idx="13">
                  <c:v>11189.930000000002</c:v>
                </c:pt>
                <c:pt idx="14">
                  <c:v>4903.8099999999995</c:v>
                </c:pt>
                <c:pt idx="15">
                  <c:v>5916.21</c:v>
                </c:pt>
                <c:pt idx="16">
                  <c:v>9028.619999999999</c:v>
                </c:pt>
                <c:pt idx="17">
                  <c:v>9381.3799999999992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B-41D7-BFFC-5857DA447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749448"/>
        <c:axId val="658243592"/>
      </c:lineChart>
      <c:catAx>
        <c:axId val="65874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243592"/>
        <c:crosses val="autoZero"/>
        <c:auto val="1"/>
        <c:lblAlgn val="ctr"/>
        <c:lblOffset val="100"/>
        <c:noMultiLvlLbl val="0"/>
      </c:catAx>
      <c:valAx>
        <c:axId val="65824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4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D1-4C43-B1DC-B7D8F77EC9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D1-4C43-B1DC-B7D8F77EC9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D1-4C43-B1DC-B7D8F77EC9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D1-4C43-B1DC-B7D8F77EC9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D1-4C43-B1DC-B7D8F77EC9C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D1-4C43-B1DC-B7D8F77EC9C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D1-4C43-B1DC-B7D8F77EC9C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CD1-4C43-B1DC-B7D8F77EC9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PivotTables!$A$29:$A$37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Health</c:v>
                </c:pt>
                <c:pt idx="5">
                  <c:v>Kitchen</c:v>
                </c:pt>
                <c:pt idx="6">
                  <c:v>Sportswear</c:v>
                </c:pt>
                <c:pt idx="7">
                  <c:v>Stationery</c:v>
                </c:pt>
              </c:strCache>
            </c:strRef>
          </c:cat>
          <c:val>
            <c:numRef>
              <c:f>PivotTables!$B$29:$B$37</c:f>
              <c:numCache>
                <c:formatCode>General</c:formatCode>
                <c:ptCount val="8"/>
                <c:pt idx="0">
                  <c:v>25</c:v>
                </c:pt>
                <c:pt idx="1">
                  <c:v>15</c:v>
                </c:pt>
                <c:pt idx="2">
                  <c:v>25</c:v>
                </c:pt>
                <c:pt idx="3">
                  <c:v>10</c:v>
                </c:pt>
                <c:pt idx="4">
                  <c:v>19</c:v>
                </c:pt>
                <c:pt idx="5">
                  <c:v>20</c:v>
                </c:pt>
                <c:pt idx="6">
                  <c:v>17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D-46D2-BA85-2E258D07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PivotTables!$A$42:$A$50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Health</c:v>
                </c:pt>
                <c:pt idx="5">
                  <c:v>Kitchen</c:v>
                </c:pt>
                <c:pt idx="6">
                  <c:v>Sportswear</c:v>
                </c:pt>
                <c:pt idx="7">
                  <c:v>Stationery</c:v>
                </c:pt>
              </c:strCache>
            </c:strRef>
          </c:cat>
          <c:val>
            <c:numRef>
              <c:f>PivotTables!$B$42:$B$50</c:f>
              <c:numCache>
                <c:formatCode>General</c:formatCode>
                <c:ptCount val="8"/>
                <c:pt idx="0">
                  <c:v>17417.32</c:v>
                </c:pt>
                <c:pt idx="1">
                  <c:v>9685.41</c:v>
                </c:pt>
                <c:pt idx="2">
                  <c:v>11844.410000000002</c:v>
                </c:pt>
                <c:pt idx="3">
                  <c:v>8592.59</c:v>
                </c:pt>
                <c:pt idx="4">
                  <c:v>11163.560000000003</c:v>
                </c:pt>
                <c:pt idx="5">
                  <c:v>18441.09</c:v>
                </c:pt>
                <c:pt idx="6">
                  <c:v>13481.539999999999</c:v>
                </c:pt>
                <c:pt idx="7">
                  <c:v>23017.84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8-4E26-AD2F-D86015C3B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1837576"/>
        <c:axId val="1001839624"/>
      </c:barChart>
      <c:catAx>
        <c:axId val="1001837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39624"/>
        <c:crosses val="autoZero"/>
        <c:auto val="1"/>
        <c:lblAlgn val="ctr"/>
        <c:lblOffset val="100"/>
        <c:noMultiLvlLbl val="0"/>
      </c:catAx>
      <c:valAx>
        <c:axId val="1001839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3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PivotTables!$B$54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0F-4175-827D-1340F153FC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0F-4175-827D-1340F153FC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0F-4175-827D-1340F153FC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0F-4175-827D-1340F153FC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0F-4175-827D-1340F153FC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0F-4175-827D-1340F153FC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60F-4175-827D-1340F153FC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60F-4175-827D-1340F153FC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60F-4175-827D-1340F153FC58}"/>
              </c:ext>
            </c:extLst>
          </c:dPt>
          <c:cat>
            <c:strRef>
              <c:f>PivotTables!$A$55:$A$64</c:f>
              <c:strCache>
                <c:ptCount val="9"/>
                <c:pt idx="0">
                  <c:v>Changed mind</c:v>
                </c:pt>
                <c:pt idx="1">
                  <c:v>Damaged</c:v>
                </c:pt>
                <c:pt idx="2">
                  <c:v>Defective</c:v>
                </c:pt>
                <c:pt idx="3">
                  <c:v>Duplicate order</c:v>
                </c:pt>
                <c:pt idx="4">
                  <c:v>Not as described</c:v>
                </c:pt>
                <c:pt idx="5">
                  <c:v>Too large</c:v>
                </c:pt>
                <c:pt idx="6">
                  <c:v>Too small</c:v>
                </c:pt>
                <c:pt idx="7">
                  <c:v>Unknown</c:v>
                </c:pt>
                <c:pt idx="8">
                  <c:v>Wrong item</c:v>
                </c:pt>
              </c:strCache>
            </c:strRef>
          </c:cat>
          <c:val>
            <c:numRef>
              <c:f>PivotTables!$B$55:$B$64</c:f>
              <c:numCache>
                <c:formatCode>General</c:formatCode>
                <c:ptCount val="9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4-49FB-9869-09B23A8C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PivotTables!$B$68:$B$69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PivotTables!$A$70:$A$79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PivotTables!$B$70:$B$79</c:f>
              <c:numCache>
                <c:formatCode>General</c:formatCode>
                <c:ptCount val="9"/>
                <c:pt idx="1">
                  <c:v>2</c:v>
                </c:pt>
                <c:pt idx="3">
                  <c:v>2</c:v>
                </c:pt>
                <c:pt idx="4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3-4C92-AE8D-16389265528C}"/>
            </c:ext>
          </c:extLst>
        </c:ser>
        <c:ser>
          <c:idx val="1"/>
          <c:order val="1"/>
          <c:tx>
            <c:strRef>
              <c:f>PivotTables!$C$68:$C$69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PivotTables!$A$70:$A$79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PivotTables!$C$70:$C$79</c:f>
              <c:numCache>
                <c:formatCode>General</c:formatCode>
                <c:ptCount val="9"/>
                <c:pt idx="0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3-4C92-AE8D-16389265528C}"/>
            </c:ext>
          </c:extLst>
        </c:ser>
        <c:ser>
          <c:idx val="2"/>
          <c:order val="2"/>
          <c:tx>
            <c:strRef>
              <c:f>PivotTables!$D$68:$D$69</c:f>
              <c:strCache>
                <c:ptCount val="1"/>
                <c:pt idx="0">
                  <c:v>Marginal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PivotTables!$A$70:$A$79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PivotTables!$D$70:$D$79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23-4C92-AE8D-16389265528C}"/>
            </c:ext>
          </c:extLst>
        </c:ser>
        <c:ser>
          <c:idx val="3"/>
          <c:order val="3"/>
          <c:tx>
            <c:strRef>
              <c:f>PivotTables!$E$68:$E$69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PivotTables!$A$70:$A$79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PivotTables!$E$70:$E$79</c:f>
              <c:numCache>
                <c:formatCode>General</c:formatCode>
                <c:ptCount val="9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23-4C92-AE8D-163892655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4364936"/>
        <c:axId val="1234366984"/>
      </c:barChart>
      <c:catAx>
        <c:axId val="1234364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66984"/>
        <c:crosses val="autoZero"/>
        <c:auto val="1"/>
        <c:lblAlgn val="ctr"/>
        <c:lblOffset val="100"/>
        <c:noMultiLvlLbl val="0"/>
      </c:catAx>
      <c:valAx>
        <c:axId val="123436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PivotTables!$A$84:$A$93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PivotTables!$B$84:$B$93</c:f>
              <c:numCache>
                <c:formatCode>0.00</c:formatCode>
                <c:ptCount val="9"/>
                <c:pt idx="0">
                  <c:v>57031.6</c:v>
                </c:pt>
                <c:pt idx="1">
                  <c:v>52001.7</c:v>
                </c:pt>
                <c:pt idx="2">
                  <c:v>54942.5</c:v>
                </c:pt>
                <c:pt idx="3">
                  <c:v>50605.222222222219</c:v>
                </c:pt>
                <c:pt idx="4">
                  <c:v>50322.166666666664</c:v>
                </c:pt>
                <c:pt idx="5">
                  <c:v>48538.2</c:v>
                </c:pt>
                <c:pt idx="6">
                  <c:v>58648.666666666664</c:v>
                </c:pt>
                <c:pt idx="7">
                  <c:v>53584.5</c:v>
                </c:pt>
                <c:pt idx="8">
                  <c:v>52157.916666666664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C-4FDA-8FCD-4E6D88806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235143"/>
        <c:axId val="1949573127"/>
      </c:barChart>
      <c:catAx>
        <c:axId val="195023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573127"/>
        <c:crosses val="autoZero"/>
        <c:auto val="1"/>
        <c:lblAlgn val="ctr"/>
        <c:lblOffset val="100"/>
        <c:noMultiLvlLbl val="0"/>
      </c:catAx>
      <c:valAx>
        <c:axId val="1949573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235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Employees_Clean!$E$2:$E$84</c:f>
              <c:numCache>
                <c:formatCode>0</c:formatCode>
                <c:ptCount val="83"/>
                <c:pt idx="0">
                  <c:v>33925</c:v>
                </c:pt>
                <c:pt idx="1">
                  <c:v>27508</c:v>
                </c:pt>
                <c:pt idx="2">
                  <c:v>57268</c:v>
                </c:pt>
                <c:pt idx="3">
                  <c:v>29057</c:v>
                </c:pt>
                <c:pt idx="4">
                  <c:v>64232</c:v>
                </c:pt>
                <c:pt idx="5">
                  <c:v>78337</c:v>
                </c:pt>
                <c:pt idx="6">
                  <c:v>48539</c:v>
                </c:pt>
                <c:pt idx="7">
                  <c:v>58272</c:v>
                </c:pt>
                <c:pt idx="8">
                  <c:v>48046</c:v>
                </c:pt>
                <c:pt idx="9">
                  <c:v>79551</c:v>
                </c:pt>
                <c:pt idx="10">
                  <c:v>54523</c:v>
                </c:pt>
                <c:pt idx="11">
                  <c:v>50296</c:v>
                </c:pt>
                <c:pt idx="12">
                  <c:v>50386</c:v>
                </c:pt>
                <c:pt idx="13">
                  <c:v>55281</c:v>
                </c:pt>
                <c:pt idx="14">
                  <c:v>59209</c:v>
                </c:pt>
                <c:pt idx="15">
                  <c:v>26839</c:v>
                </c:pt>
                <c:pt idx="16">
                  <c:v>32622</c:v>
                </c:pt>
                <c:pt idx="17">
                  <c:v>65731</c:v>
                </c:pt>
                <c:pt idx="18">
                  <c:v>73090</c:v>
                </c:pt>
                <c:pt idx="19">
                  <c:v>42583</c:v>
                </c:pt>
                <c:pt idx="20">
                  <c:v>64254</c:v>
                </c:pt>
                <c:pt idx="21">
                  <c:v>31586</c:v>
                </c:pt>
                <c:pt idx="22">
                  <c:v>30167</c:v>
                </c:pt>
                <c:pt idx="23">
                  <c:v>33140</c:v>
                </c:pt>
                <c:pt idx="24">
                  <c:v>24971</c:v>
                </c:pt>
                <c:pt idx="25">
                  <c:v>78449</c:v>
                </c:pt>
                <c:pt idx="26">
                  <c:v>51561</c:v>
                </c:pt>
                <c:pt idx="27">
                  <c:v>70151</c:v>
                </c:pt>
                <c:pt idx="28">
                  <c:v>50347</c:v>
                </c:pt>
                <c:pt idx="29">
                  <c:v>0</c:v>
                </c:pt>
                <c:pt idx="30">
                  <c:v>51265</c:v>
                </c:pt>
                <c:pt idx="31">
                  <c:v>47856</c:v>
                </c:pt>
                <c:pt idx="32">
                  <c:v>60847</c:v>
                </c:pt>
                <c:pt idx="33">
                  <c:v>37679</c:v>
                </c:pt>
                <c:pt idx="34">
                  <c:v>58847</c:v>
                </c:pt>
                <c:pt idx="35">
                  <c:v>73429</c:v>
                </c:pt>
                <c:pt idx="36">
                  <c:v>51381</c:v>
                </c:pt>
                <c:pt idx="37">
                  <c:v>71396</c:v>
                </c:pt>
                <c:pt idx="38">
                  <c:v>61045</c:v>
                </c:pt>
                <c:pt idx="39">
                  <c:v>31607</c:v>
                </c:pt>
                <c:pt idx="40">
                  <c:v>69282</c:v>
                </c:pt>
                <c:pt idx="41">
                  <c:v>42236</c:v>
                </c:pt>
                <c:pt idx="42">
                  <c:v>72651</c:v>
                </c:pt>
                <c:pt idx="43">
                  <c:v>39364</c:v>
                </c:pt>
                <c:pt idx="44">
                  <c:v>59911</c:v>
                </c:pt>
                <c:pt idx="45">
                  <c:v>47122</c:v>
                </c:pt>
                <c:pt idx="46">
                  <c:v>66451</c:v>
                </c:pt>
                <c:pt idx="47">
                  <c:v>70740</c:v>
                </c:pt>
                <c:pt idx="48">
                  <c:v>70632</c:v>
                </c:pt>
                <c:pt idx="49">
                  <c:v>75920</c:v>
                </c:pt>
                <c:pt idx="50">
                  <c:v>47604</c:v>
                </c:pt>
                <c:pt idx="51">
                  <c:v>38686</c:v>
                </c:pt>
                <c:pt idx="52">
                  <c:v>53984</c:v>
                </c:pt>
                <c:pt idx="53">
                  <c:v>74160</c:v>
                </c:pt>
                <c:pt idx="54">
                  <c:v>61414</c:v>
                </c:pt>
                <c:pt idx="55">
                  <c:v>31072</c:v>
                </c:pt>
                <c:pt idx="56">
                  <c:v>74808</c:v>
                </c:pt>
                <c:pt idx="57">
                  <c:v>69388</c:v>
                </c:pt>
                <c:pt idx="58">
                  <c:v>45514</c:v>
                </c:pt>
                <c:pt idx="59">
                  <c:v>29897</c:v>
                </c:pt>
                <c:pt idx="60">
                  <c:v>72809</c:v>
                </c:pt>
                <c:pt idx="61">
                  <c:v>78671</c:v>
                </c:pt>
                <c:pt idx="62">
                  <c:v>34189</c:v>
                </c:pt>
                <c:pt idx="63">
                  <c:v>65186</c:v>
                </c:pt>
                <c:pt idx="64">
                  <c:v>30971</c:v>
                </c:pt>
                <c:pt idx="65">
                  <c:v>41048</c:v>
                </c:pt>
                <c:pt idx="66">
                  <c:v>59280</c:v>
                </c:pt>
                <c:pt idx="67">
                  <c:v>25648</c:v>
                </c:pt>
                <c:pt idx="68">
                  <c:v>54915</c:v>
                </c:pt>
                <c:pt idx="69">
                  <c:v>37679</c:v>
                </c:pt>
                <c:pt idx="70">
                  <c:v>67033</c:v>
                </c:pt>
                <c:pt idx="71">
                  <c:v>49300</c:v>
                </c:pt>
                <c:pt idx="72">
                  <c:v>50969</c:v>
                </c:pt>
                <c:pt idx="73">
                  <c:v>63234</c:v>
                </c:pt>
                <c:pt idx="74">
                  <c:v>49207</c:v>
                </c:pt>
                <c:pt idx="75">
                  <c:v>71082</c:v>
                </c:pt>
                <c:pt idx="76">
                  <c:v>50955</c:v>
                </c:pt>
                <c:pt idx="77">
                  <c:v>34583</c:v>
                </c:pt>
                <c:pt idx="78">
                  <c:v>69803</c:v>
                </c:pt>
                <c:pt idx="79">
                  <c:v>22374</c:v>
                </c:pt>
                <c:pt idx="80">
                  <c:v>50296</c:v>
                </c:pt>
                <c:pt idx="81">
                  <c:v>41048</c:v>
                </c:pt>
                <c:pt idx="82">
                  <c:v>65731</c:v>
                </c:pt>
              </c:numCache>
            </c:numRef>
          </c:xVal>
          <c:yVal>
            <c:numRef>
              <c:f>Employees_Clean!$F$2:$F$84</c:f>
              <c:numCache>
                <c:formatCode>General</c:formatCode>
                <c:ptCount val="83"/>
                <c:pt idx="0">
                  <c:v>1.2</c:v>
                </c:pt>
                <c:pt idx="1">
                  <c:v>2.8</c:v>
                </c:pt>
                <c:pt idx="2">
                  <c:v>1</c:v>
                </c:pt>
                <c:pt idx="3">
                  <c:v>3.9</c:v>
                </c:pt>
                <c:pt idx="4">
                  <c:v>2.2999999999999998</c:v>
                </c:pt>
                <c:pt idx="5">
                  <c:v>3.9</c:v>
                </c:pt>
                <c:pt idx="6">
                  <c:v>3.9</c:v>
                </c:pt>
                <c:pt idx="7">
                  <c:v>1.7</c:v>
                </c:pt>
                <c:pt idx="8">
                  <c:v>1.2</c:v>
                </c:pt>
                <c:pt idx="9">
                  <c:v>2.4</c:v>
                </c:pt>
                <c:pt idx="10">
                  <c:v>2.5</c:v>
                </c:pt>
                <c:pt idx="11">
                  <c:v>3.9</c:v>
                </c:pt>
                <c:pt idx="12">
                  <c:v>3.9</c:v>
                </c:pt>
                <c:pt idx="13">
                  <c:v>2.8</c:v>
                </c:pt>
                <c:pt idx="14">
                  <c:v>4.7</c:v>
                </c:pt>
                <c:pt idx="15">
                  <c:v>4.7</c:v>
                </c:pt>
                <c:pt idx="16">
                  <c:v>1.4</c:v>
                </c:pt>
                <c:pt idx="17">
                  <c:v>3.8</c:v>
                </c:pt>
                <c:pt idx="18">
                  <c:v>2.8</c:v>
                </c:pt>
                <c:pt idx="19">
                  <c:v>2.8</c:v>
                </c:pt>
                <c:pt idx="20">
                  <c:v>3</c:v>
                </c:pt>
                <c:pt idx="21">
                  <c:v>1.5</c:v>
                </c:pt>
                <c:pt idx="22">
                  <c:v>1</c:v>
                </c:pt>
                <c:pt idx="23">
                  <c:v>2.4</c:v>
                </c:pt>
                <c:pt idx="24">
                  <c:v>1.5</c:v>
                </c:pt>
                <c:pt idx="25">
                  <c:v>3.9</c:v>
                </c:pt>
                <c:pt idx="26">
                  <c:v>2.7</c:v>
                </c:pt>
                <c:pt idx="27">
                  <c:v>2.7</c:v>
                </c:pt>
                <c:pt idx="28">
                  <c:v>2.2000000000000002</c:v>
                </c:pt>
                <c:pt idx="29">
                  <c:v>2.2000000000000002</c:v>
                </c:pt>
                <c:pt idx="30">
                  <c:v>1.2</c:v>
                </c:pt>
                <c:pt idx="31">
                  <c:v>1.8</c:v>
                </c:pt>
                <c:pt idx="32">
                  <c:v>4.5</c:v>
                </c:pt>
                <c:pt idx="33">
                  <c:v>1.9</c:v>
                </c:pt>
                <c:pt idx="34">
                  <c:v>1.5</c:v>
                </c:pt>
                <c:pt idx="35">
                  <c:v>2.2000000000000002</c:v>
                </c:pt>
                <c:pt idx="36">
                  <c:v>4.3</c:v>
                </c:pt>
                <c:pt idx="37">
                  <c:v>1.4</c:v>
                </c:pt>
                <c:pt idx="38">
                  <c:v>1.7</c:v>
                </c:pt>
                <c:pt idx="39">
                  <c:v>2.9</c:v>
                </c:pt>
                <c:pt idx="40">
                  <c:v>2</c:v>
                </c:pt>
                <c:pt idx="41">
                  <c:v>1.9</c:v>
                </c:pt>
                <c:pt idx="42">
                  <c:v>1.8</c:v>
                </c:pt>
                <c:pt idx="43">
                  <c:v>2.8</c:v>
                </c:pt>
                <c:pt idx="44">
                  <c:v>3.1</c:v>
                </c:pt>
                <c:pt idx="45">
                  <c:v>2</c:v>
                </c:pt>
                <c:pt idx="46">
                  <c:v>1.8</c:v>
                </c:pt>
                <c:pt idx="47">
                  <c:v>1.5</c:v>
                </c:pt>
                <c:pt idx="48">
                  <c:v>4.2</c:v>
                </c:pt>
                <c:pt idx="49">
                  <c:v>3.4</c:v>
                </c:pt>
                <c:pt idx="50">
                  <c:v>1.9</c:v>
                </c:pt>
                <c:pt idx="51">
                  <c:v>4</c:v>
                </c:pt>
                <c:pt idx="52">
                  <c:v>3.1</c:v>
                </c:pt>
                <c:pt idx="53">
                  <c:v>4</c:v>
                </c:pt>
                <c:pt idx="54">
                  <c:v>2.9</c:v>
                </c:pt>
                <c:pt idx="55">
                  <c:v>3.7</c:v>
                </c:pt>
                <c:pt idx="56">
                  <c:v>2.9</c:v>
                </c:pt>
                <c:pt idx="57">
                  <c:v>3.8</c:v>
                </c:pt>
                <c:pt idx="58">
                  <c:v>2.2000000000000002</c:v>
                </c:pt>
                <c:pt idx="59">
                  <c:v>1.7</c:v>
                </c:pt>
                <c:pt idx="60">
                  <c:v>3.2</c:v>
                </c:pt>
                <c:pt idx="61">
                  <c:v>1.3</c:v>
                </c:pt>
                <c:pt idx="62">
                  <c:v>4.3</c:v>
                </c:pt>
                <c:pt idx="63">
                  <c:v>2.9</c:v>
                </c:pt>
                <c:pt idx="64">
                  <c:v>2</c:v>
                </c:pt>
                <c:pt idx="65">
                  <c:v>2.2000000000000002</c:v>
                </c:pt>
                <c:pt idx="66">
                  <c:v>4.5</c:v>
                </c:pt>
                <c:pt idx="67">
                  <c:v>3.9</c:v>
                </c:pt>
                <c:pt idx="68">
                  <c:v>3.9</c:v>
                </c:pt>
                <c:pt idx="69">
                  <c:v>4.9000000000000004</c:v>
                </c:pt>
                <c:pt idx="70">
                  <c:v>1.6</c:v>
                </c:pt>
                <c:pt idx="71">
                  <c:v>2.9</c:v>
                </c:pt>
                <c:pt idx="72">
                  <c:v>2.4</c:v>
                </c:pt>
                <c:pt idx="73">
                  <c:v>3.6</c:v>
                </c:pt>
                <c:pt idx="74">
                  <c:v>1.2</c:v>
                </c:pt>
                <c:pt idx="75">
                  <c:v>4.9000000000000004</c:v>
                </c:pt>
                <c:pt idx="76">
                  <c:v>2.4</c:v>
                </c:pt>
                <c:pt idx="77">
                  <c:v>2.9</c:v>
                </c:pt>
                <c:pt idx="78">
                  <c:v>4.8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4.4000000000000004</c:v>
                </c:pt>
                <c:pt idx="82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4-4028-91D7-F1DCF08CB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985095"/>
        <c:axId val="1952987143"/>
      </c:scatterChart>
      <c:valAx>
        <c:axId val="1952985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87143"/>
        <c:crosses val="autoZero"/>
        <c:crossBetween val="midCat"/>
      </c:valAx>
      <c:valAx>
        <c:axId val="1952987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85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PivotTables!$A$4:$B$24</c:f>
              <c:multiLvlStrCache>
                <c:ptCount val="18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PivotTables!$C$4:$C$24</c:f>
              <c:numCache>
                <c:formatCode>General</c:formatCode>
                <c:ptCount val="18"/>
                <c:pt idx="0">
                  <c:v>5984.4</c:v>
                </c:pt>
                <c:pt idx="1">
                  <c:v>2304.3200000000002</c:v>
                </c:pt>
                <c:pt idx="2">
                  <c:v>3284.2200000000003</c:v>
                </c:pt>
                <c:pt idx="3">
                  <c:v>7853.2100000000009</c:v>
                </c:pt>
                <c:pt idx="4">
                  <c:v>6896.56</c:v>
                </c:pt>
                <c:pt idx="5">
                  <c:v>5447.48</c:v>
                </c:pt>
                <c:pt idx="6">
                  <c:v>5444.4800000000014</c:v>
                </c:pt>
                <c:pt idx="7">
                  <c:v>5059.6200000000008</c:v>
                </c:pt>
                <c:pt idx="8">
                  <c:v>3933.74</c:v>
                </c:pt>
                <c:pt idx="9">
                  <c:v>6405.34</c:v>
                </c:pt>
                <c:pt idx="10">
                  <c:v>8004.72</c:v>
                </c:pt>
                <c:pt idx="11">
                  <c:v>5664.79</c:v>
                </c:pt>
                <c:pt idx="12">
                  <c:v>6940.93</c:v>
                </c:pt>
                <c:pt idx="13">
                  <c:v>11189.930000000002</c:v>
                </c:pt>
                <c:pt idx="14">
                  <c:v>4903.8099999999995</c:v>
                </c:pt>
                <c:pt idx="15">
                  <c:v>5916.21</c:v>
                </c:pt>
                <c:pt idx="16">
                  <c:v>9028.619999999999</c:v>
                </c:pt>
                <c:pt idx="17">
                  <c:v>9381.3799999999992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6A-4351-B0C4-185690A1F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749448"/>
        <c:axId val="658243592"/>
      </c:lineChart>
      <c:catAx>
        <c:axId val="65874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243592"/>
        <c:crosses val="autoZero"/>
        <c:auto val="1"/>
        <c:lblAlgn val="ctr"/>
        <c:lblOffset val="100"/>
        <c:noMultiLvlLbl val="0"/>
      </c:catAx>
      <c:valAx>
        <c:axId val="65824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4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PivotTables!$A$42:$A$50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Health</c:v>
                </c:pt>
                <c:pt idx="5">
                  <c:v>Kitchen</c:v>
                </c:pt>
                <c:pt idx="6">
                  <c:v>Sportswear</c:v>
                </c:pt>
                <c:pt idx="7">
                  <c:v>Stationery</c:v>
                </c:pt>
              </c:strCache>
            </c:strRef>
          </c:cat>
          <c:val>
            <c:numRef>
              <c:f>PivotTables!$B$42:$B$50</c:f>
              <c:numCache>
                <c:formatCode>General</c:formatCode>
                <c:ptCount val="8"/>
                <c:pt idx="0">
                  <c:v>17417.32</c:v>
                </c:pt>
                <c:pt idx="1">
                  <c:v>9685.41</c:v>
                </c:pt>
                <c:pt idx="2">
                  <c:v>11844.410000000002</c:v>
                </c:pt>
                <c:pt idx="3">
                  <c:v>8592.59</c:v>
                </c:pt>
                <c:pt idx="4">
                  <c:v>11163.560000000003</c:v>
                </c:pt>
                <c:pt idx="5">
                  <c:v>18441.09</c:v>
                </c:pt>
                <c:pt idx="6">
                  <c:v>13481.539999999999</c:v>
                </c:pt>
                <c:pt idx="7">
                  <c:v>23017.84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E-4862-8DA7-BB4A9F3DA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1837576"/>
        <c:axId val="1001839624"/>
      </c:barChart>
      <c:catAx>
        <c:axId val="1001837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39624"/>
        <c:crosses val="autoZero"/>
        <c:auto val="1"/>
        <c:lblAlgn val="ctr"/>
        <c:lblOffset val="100"/>
        <c:noMultiLvlLbl val="0"/>
      </c:catAx>
      <c:valAx>
        <c:axId val="1001839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3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88-4D36-A84B-3AF3195E9E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88-4D36-A84B-3AF3195E9E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88-4D36-A84B-3AF3195E9E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88-4D36-A84B-3AF3195E9E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88-4D36-A84B-3AF3195E9E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88-4D36-A84B-3AF3195E9E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288-4D36-A84B-3AF3195E9EF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288-4D36-A84B-3AF3195E9E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PivotTables!$A$29:$A$37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Health</c:v>
                </c:pt>
                <c:pt idx="5">
                  <c:v>Kitchen</c:v>
                </c:pt>
                <c:pt idx="6">
                  <c:v>Sportswear</c:v>
                </c:pt>
                <c:pt idx="7">
                  <c:v>Stationery</c:v>
                </c:pt>
              </c:strCache>
            </c:strRef>
          </c:cat>
          <c:val>
            <c:numRef>
              <c:f>PivotTables!$B$29:$B$37</c:f>
              <c:numCache>
                <c:formatCode>General</c:formatCode>
                <c:ptCount val="8"/>
                <c:pt idx="0">
                  <c:v>25</c:v>
                </c:pt>
                <c:pt idx="1">
                  <c:v>15</c:v>
                </c:pt>
                <c:pt idx="2">
                  <c:v>25</c:v>
                </c:pt>
                <c:pt idx="3">
                  <c:v>10</c:v>
                </c:pt>
                <c:pt idx="4">
                  <c:v>19</c:v>
                </c:pt>
                <c:pt idx="5">
                  <c:v>20</c:v>
                </c:pt>
                <c:pt idx="6">
                  <c:v>17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288-4D36-A84B-3AF3195E9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PivotTables!$A$84:$A$93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PivotTables!$B$84:$B$93</c:f>
              <c:numCache>
                <c:formatCode>0.00</c:formatCode>
                <c:ptCount val="9"/>
                <c:pt idx="0">
                  <c:v>57031.6</c:v>
                </c:pt>
                <c:pt idx="1">
                  <c:v>52001.7</c:v>
                </c:pt>
                <c:pt idx="2">
                  <c:v>54942.5</c:v>
                </c:pt>
                <c:pt idx="3">
                  <c:v>50605.222222222219</c:v>
                </c:pt>
                <c:pt idx="4">
                  <c:v>50322.166666666664</c:v>
                </c:pt>
                <c:pt idx="5">
                  <c:v>48538.2</c:v>
                </c:pt>
                <c:pt idx="6">
                  <c:v>58648.666666666664</c:v>
                </c:pt>
                <c:pt idx="7">
                  <c:v>53584.5</c:v>
                </c:pt>
                <c:pt idx="8">
                  <c:v>52157.916666666664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C-466B-BD10-5E769753D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235143"/>
        <c:axId val="1949573127"/>
      </c:barChart>
      <c:catAx>
        <c:axId val="195023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573127"/>
        <c:crosses val="autoZero"/>
        <c:auto val="1"/>
        <c:lblAlgn val="ctr"/>
        <c:lblOffset val="100"/>
        <c:noMultiLvlLbl val="0"/>
      </c:catAx>
      <c:valAx>
        <c:axId val="1949573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235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Employees_Clean!$E$2:$E$84</c:f>
              <c:numCache>
                <c:formatCode>0</c:formatCode>
                <c:ptCount val="83"/>
                <c:pt idx="0">
                  <c:v>33925</c:v>
                </c:pt>
                <c:pt idx="1">
                  <c:v>27508</c:v>
                </c:pt>
                <c:pt idx="2">
                  <c:v>57268</c:v>
                </c:pt>
                <c:pt idx="3">
                  <c:v>29057</c:v>
                </c:pt>
                <c:pt idx="4">
                  <c:v>64232</c:v>
                </c:pt>
                <c:pt idx="5">
                  <c:v>78337</c:v>
                </c:pt>
                <c:pt idx="6">
                  <c:v>48539</c:v>
                </c:pt>
                <c:pt idx="7">
                  <c:v>58272</c:v>
                </c:pt>
                <c:pt idx="8">
                  <c:v>48046</c:v>
                </c:pt>
                <c:pt idx="9">
                  <c:v>79551</c:v>
                </c:pt>
                <c:pt idx="10">
                  <c:v>54523</c:v>
                </c:pt>
                <c:pt idx="11">
                  <c:v>50296</c:v>
                </c:pt>
                <c:pt idx="12">
                  <c:v>50386</c:v>
                </c:pt>
                <c:pt idx="13">
                  <c:v>55281</c:v>
                </c:pt>
                <c:pt idx="14">
                  <c:v>59209</c:v>
                </c:pt>
                <c:pt idx="15">
                  <c:v>26839</c:v>
                </c:pt>
                <c:pt idx="16">
                  <c:v>32622</c:v>
                </c:pt>
                <c:pt idx="17">
                  <c:v>65731</c:v>
                </c:pt>
                <c:pt idx="18">
                  <c:v>73090</c:v>
                </c:pt>
                <c:pt idx="19">
                  <c:v>42583</c:v>
                </c:pt>
                <c:pt idx="20">
                  <c:v>64254</c:v>
                </c:pt>
                <c:pt idx="21">
                  <c:v>31586</c:v>
                </c:pt>
                <c:pt idx="22">
                  <c:v>30167</c:v>
                </c:pt>
                <c:pt idx="23">
                  <c:v>33140</c:v>
                </c:pt>
                <c:pt idx="24">
                  <c:v>24971</c:v>
                </c:pt>
                <c:pt idx="25">
                  <c:v>78449</c:v>
                </c:pt>
                <c:pt idx="26">
                  <c:v>51561</c:v>
                </c:pt>
                <c:pt idx="27">
                  <c:v>70151</c:v>
                </c:pt>
                <c:pt idx="28">
                  <c:v>50347</c:v>
                </c:pt>
                <c:pt idx="29">
                  <c:v>0</c:v>
                </c:pt>
                <c:pt idx="30">
                  <c:v>51265</c:v>
                </c:pt>
                <c:pt idx="31">
                  <c:v>47856</c:v>
                </c:pt>
                <c:pt idx="32">
                  <c:v>60847</c:v>
                </c:pt>
                <c:pt idx="33">
                  <c:v>37679</c:v>
                </c:pt>
                <c:pt idx="34">
                  <c:v>58847</c:v>
                </c:pt>
                <c:pt idx="35">
                  <c:v>73429</c:v>
                </c:pt>
                <c:pt idx="36">
                  <c:v>51381</c:v>
                </c:pt>
                <c:pt idx="37">
                  <c:v>71396</c:v>
                </c:pt>
                <c:pt idx="38">
                  <c:v>61045</c:v>
                </c:pt>
                <c:pt idx="39">
                  <c:v>31607</c:v>
                </c:pt>
                <c:pt idx="40">
                  <c:v>69282</c:v>
                </c:pt>
                <c:pt idx="41">
                  <c:v>42236</c:v>
                </c:pt>
                <c:pt idx="42">
                  <c:v>72651</c:v>
                </c:pt>
                <c:pt idx="43">
                  <c:v>39364</c:v>
                </c:pt>
                <c:pt idx="44">
                  <c:v>59911</c:v>
                </c:pt>
                <c:pt idx="45">
                  <c:v>47122</c:v>
                </c:pt>
                <c:pt idx="46">
                  <c:v>66451</c:v>
                </c:pt>
                <c:pt idx="47">
                  <c:v>70740</c:v>
                </c:pt>
                <c:pt idx="48">
                  <c:v>70632</c:v>
                </c:pt>
                <c:pt idx="49">
                  <c:v>75920</c:v>
                </c:pt>
                <c:pt idx="50">
                  <c:v>47604</c:v>
                </c:pt>
                <c:pt idx="51">
                  <c:v>38686</c:v>
                </c:pt>
                <c:pt idx="52">
                  <c:v>53984</c:v>
                </c:pt>
                <c:pt idx="53">
                  <c:v>74160</c:v>
                </c:pt>
                <c:pt idx="54">
                  <c:v>61414</c:v>
                </c:pt>
                <c:pt idx="55">
                  <c:v>31072</c:v>
                </c:pt>
                <c:pt idx="56">
                  <c:v>74808</c:v>
                </c:pt>
                <c:pt idx="57">
                  <c:v>69388</c:v>
                </c:pt>
                <c:pt idx="58">
                  <c:v>45514</c:v>
                </c:pt>
                <c:pt idx="59">
                  <c:v>29897</c:v>
                </c:pt>
                <c:pt idx="60">
                  <c:v>72809</c:v>
                </c:pt>
                <c:pt idx="61">
                  <c:v>78671</c:v>
                </c:pt>
                <c:pt idx="62">
                  <c:v>34189</c:v>
                </c:pt>
                <c:pt idx="63">
                  <c:v>65186</c:v>
                </c:pt>
                <c:pt idx="64">
                  <c:v>30971</c:v>
                </c:pt>
                <c:pt idx="65">
                  <c:v>41048</c:v>
                </c:pt>
                <c:pt idx="66">
                  <c:v>59280</c:v>
                </c:pt>
                <c:pt idx="67">
                  <c:v>25648</c:v>
                </c:pt>
                <c:pt idx="68">
                  <c:v>54915</c:v>
                </c:pt>
                <c:pt idx="69">
                  <c:v>37679</c:v>
                </c:pt>
                <c:pt idx="70">
                  <c:v>67033</c:v>
                </c:pt>
                <c:pt idx="71">
                  <c:v>49300</c:v>
                </c:pt>
                <c:pt idx="72">
                  <c:v>50969</c:v>
                </c:pt>
                <c:pt idx="73">
                  <c:v>63234</c:v>
                </c:pt>
                <c:pt idx="74">
                  <c:v>49207</c:v>
                </c:pt>
                <c:pt idx="75">
                  <c:v>71082</c:v>
                </c:pt>
                <c:pt idx="76">
                  <c:v>50955</c:v>
                </c:pt>
                <c:pt idx="77">
                  <c:v>34583</c:v>
                </c:pt>
                <c:pt idx="78">
                  <c:v>69803</c:v>
                </c:pt>
                <c:pt idx="79">
                  <c:v>22374</c:v>
                </c:pt>
                <c:pt idx="80">
                  <c:v>50296</c:v>
                </c:pt>
                <c:pt idx="81">
                  <c:v>41048</c:v>
                </c:pt>
                <c:pt idx="82">
                  <c:v>65731</c:v>
                </c:pt>
              </c:numCache>
            </c:numRef>
          </c:xVal>
          <c:yVal>
            <c:numRef>
              <c:f>Employees_Clean!$F$2:$F$84</c:f>
              <c:numCache>
                <c:formatCode>General</c:formatCode>
                <c:ptCount val="83"/>
                <c:pt idx="0">
                  <c:v>1.2</c:v>
                </c:pt>
                <c:pt idx="1">
                  <c:v>2.8</c:v>
                </c:pt>
                <c:pt idx="2">
                  <c:v>1</c:v>
                </c:pt>
                <c:pt idx="3">
                  <c:v>3.9</c:v>
                </c:pt>
                <c:pt idx="4">
                  <c:v>2.2999999999999998</c:v>
                </c:pt>
                <c:pt idx="5">
                  <c:v>3.9</c:v>
                </c:pt>
                <c:pt idx="6">
                  <c:v>3.9</c:v>
                </c:pt>
                <c:pt idx="7">
                  <c:v>1.7</c:v>
                </c:pt>
                <c:pt idx="8">
                  <c:v>1.2</c:v>
                </c:pt>
                <c:pt idx="9">
                  <c:v>2.4</c:v>
                </c:pt>
                <c:pt idx="10">
                  <c:v>2.5</c:v>
                </c:pt>
                <c:pt idx="11">
                  <c:v>3.9</c:v>
                </c:pt>
                <c:pt idx="12">
                  <c:v>3.9</c:v>
                </c:pt>
                <c:pt idx="13">
                  <c:v>2.8</c:v>
                </c:pt>
                <c:pt idx="14">
                  <c:v>4.7</c:v>
                </c:pt>
                <c:pt idx="15">
                  <c:v>4.7</c:v>
                </c:pt>
                <c:pt idx="16">
                  <c:v>1.4</c:v>
                </c:pt>
                <c:pt idx="17">
                  <c:v>3.8</c:v>
                </c:pt>
                <c:pt idx="18">
                  <c:v>2.8</c:v>
                </c:pt>
                <c:pt idx="19">
                  <c:v>2.8</c:v>
                </c:pt>
                <c:pt idx="20">
                  <c:v>3</c:v>
                </c:pt>
                <c:pt idx="21">
                  <c:v>1.5</c:v>
                </c:pt>
                <c:pt idx="22">
                  <c:v>1</c:v>
                </c:pt>
                <c:pt idx="23">
                  <c:v>2.4</c:v>
                </c:pt>
                <c:pt idx="24">
                  <c:v>1.5</c:v>
                </c:pt>
                <c:pt idx="25">
                  <c:v>3.9</c:v>
                </c:pt>
                <c:pt idx="26">
                  <c:v>2.7</c:v>
                </c:pt>
                <c:pt idx="27">
                  <c:v>2.7</c:v>
                </c:pt>
                <c:pt idx="28">
                  <c:v>2.2000000000000002</c:v>
                </c:pt>
                <c:pt idx="29">
                  <c:v>2.2000000000000002</c:v>
                </c:pt>
                <c:pt idx="30">
                  <c:v>1.2</c:v>
                </c:pt>
                <c:pt idx="31">
                  <c:v>1.8</c:v>
                </c:pt>
                <c:pt idx="32">
                  <c:v>4.5</c:v>
                </c:pt>
                <c:pt idx="33">
                  <c:v>1.9</c:v>
                </c:pt>
                <c:pt idx="34">
                  <c:v>1.5</c:v>
                </c:pt>
                <c:pt idx="35">
                  <c:v>2.2000000000000002</c:v>
                </c:pt>
                <c:pt idx="36">
                  <c:v>4.3</c:v>
                </c:pt>
                <c:pt idx="37">
                  <c:v>1.4</c:v>
                </c:pt>
                <c:pt idx="38">
                  <c:v>1.7</c:v>
                </c:pt>
                <c:pt idx="39">
                  <c:v>2.9</c:v>
                </c:pt>
                <c:pt idx="40">
                  <c:v>2</c:v>
                </c:pt>
                <c:pt idx="41">
                  <c:v>1.9</c:v>
                </c:pt>
                <c:pt idx="42">
                  <c:v>1.8</c:v>
                </c:pt>
                <c:pt idx="43">
                  <c:v>2.8</c:v>
                </c:pt>
                <c:pt idx="44">
                  <c:v>3.1</c:v>
                </c:pt>
                <c:pt idx="45">
                  <c:v>2</c:v>
                </c:pt>
                <c:pt idx="46">
                  <c:v>1.8</c:v>
                </c:pt>
                <c:pt idx="47">
                  <c:v>1.5</c:v>
                </c:pt>
                <c:pt idx="48">
                  <c:v>4.2</c:v>
                </c:pt>
                <c:pt idx="49">
                  <c:v>3.4</c:v>
                </c:pt>
                <c:pt idx="50">
                  <c:v>1.9</c:v>
                </c:pt>
                <c:pt idx="51">
                  <c:v>4</c:v>
                </c:pt>
                <c:pt idx="52">
                  <c:v>3.1</c:v>
                </c:pt>
                <c:pt idx="53">
                  <c:v>4</c:v>
                </c:pt>
                <c:pt idx="54">
                  <c:v>2.9</c:v>
                </c:pt>
                <c:pt idx="55">
                  <c:v>3.7</c:v>
                </c:pt>
                <c:pt idx="56">
                  <c:v>2.9</c:v>
                </c:pt>
                <c:pt idx="57">
                  <c:v>3.8</c:v>
                </c:pt>
                <c:pt idx="58">
                  <c:v>2.2000000000000002</c:v>
                </c:pt>
                <c:pt idx="59">
                  <c:v>1.7</c:v>
                </c:pt>
                <c:pt idx="60">
                  <c:v>3.2</c:v>
                </c:pt>
                <c:pt idx="61">
                  <c:v>1.3</c:v>
                </c:pt>
                <c:pt idx="62">
                  <c:v>4.3</c:v>
                </c:pt>
                <c:pt idx="63">
                  <c:v>2.9</c:v>
                </c:pt>
                <c:pt idx="64">
                  <c:v>2</c:v>
                </c:pt>
                <c:pt idx="65">
                  <c:v>2.2000000000000002</c:v>
                </c:pt>
                <c:pt idx="66">
                  <c:v>4.5</c:v>
                </c:pt>
                <c:pt idx="67">
                  <c:v>3.9</c:v>
                </c:pt>
                <c:pt idx="68">
                  <c:v>3.9</c:v>
                </c:pt>
                <c:pt idx="69">
                  <c:v>4.9000000000000004</c:v>
                </c:pt>
                <c:pt idx="70">
                  <c:v>1.6</c:v>
                </c:pt>
                <c:pt idx="71">
                  <c:v>2.9</c:v>
                </c:pt>
                <c:pt idx="72">
                  <c:v>2.4</c:v>
                </c:pt>
                <c:pt idx="73">
                  <c:v>3.6</c:v>
                </c:pt>
                <c:pt idx="74">
                  <c:v>1.2</c:v>
                </c:pt>
                <c:pt idx="75">
                  <c:v>4.9000000000000004</c:v>
                </c:pt>
                <c:pt idx="76">
                  <c:v>2.4</c:v>
                </c:pt>
                <c:pt idx="77">
                  <c:v>2.9</c:v>
                </c:pt>
                <c:pt idx="78">
                  <c:v>4.8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4.4000000000000004</c:v>
                </c:pt>
                <c:pt idx="82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E-4780-BC6D-FB3F3374C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985095"/>
        <c:axId val="1952987143"/>
      </c:scatterChart>
      <c:valAx>
        <c:axId val="1952985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87143"/>
        <c:crosses val="autoZero"/>
        <c:crossBetween val="midCat"/>
      </c:valAx>
      <c:valAx>
        <c:axId val="1952987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85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 Excel Project.xlsx]PivotTables!PivotTable4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PivotTables!$B$68:$B$69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PivotTables!$A$70:$A$79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PivotTables!$B$70:$B$79</c:f>
              <c:numCache>
                <c:formatCode>General</c:formatCode>
                <c:ptCount val="9"/>
                <c:pt idx="1">
                  <c:v>2</c:v>
                </c:pt>
                <c:pt idx="3">
                  <c:v>2</c:v>
                </c:pt>
                <c:pt idx="4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7-42FB-9B6C-EC63D3CA629D}"/>
            </c:ext>
          </c:extLst>
        </c:ser>
        <c:ser>
          <c:idx val="1"/>
          <c:order val="1"/>
          <c:tx>
            <c:strRef>
              <c:f>PivotTables!$C$68:$C$69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PivotTables!$A$70:$A$79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PivotTables!$C$70:$C$79</c:f>
              <c:numCache>
                <c:formatCode>General</c:formatCode>
                <c:ptCount val="9"/>
                <c:pt idx="0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7-42FB-9B6C-EC63D3CA629D}"/>
            </c:ext>
          </c:extLst>
        </c:ser>
        <c:ser>
          <c:idx val="2"/>
          <c:order val="2"/>
          <c:tx>
            <c:strRef>
              <c:f>PivotTables!$D$68:$D$69</c:f>
              <c:strCache>
                <c:ptCount val="1"/>
                <c:pt idx="0">
                  <c:v>Marginal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PivotTables!$A$70:$A$79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PivotTables!$D$70:$D$79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07-42FB-9B6C-EC63D3CA629D}"/>
            </c:ext>
          </c:extLst>
        </c:ser>
        <c:ser>
          <c:idx val="3"/>
          <c:order val="3"/>
          <c:tx>
            <c:strRef>
              <c:f>PivotTables!$E$68:$E$69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PivotTables!$A$70:$A$79</c:f>
              <c:strCache>
                <c:ptCount val="9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N/A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PivotTables!$E$70:$E$79</c:f>
              <c:numCache>
                <c:formatCode>General</c:formatCode>
                <c:ptCount val="9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07-42FB-9B6C-EC63D3CA6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4364936"/>
        <c:axId val="1234366984"/>
      </c:barChart>
      <c:catAx>
        <c:axId val="1234364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66984"/>
        <c:crosses val="autoZero"/>
        <c:auto val="1"/>
        <c:lblAlgn val="ctr"/>
        <c:lblOffset val="100"/>
        <c:noMultiLvlLbl val="0"/>
      </c:catAx>
      <c:valAx>
        <c:axId val="123436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171450</xdr:rowOff>
    </xdr:from>
    <xdr:to>
      <xdr:col>14</xdr:col>
      <xdr:colOff>542925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3B6A3-A894-348F-F57D-4FE3AF94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2209800</xdr:colOff>
      <xdr:row>27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425448-502E-9ECE-C976-CE06DAACBD34}"/>
            </a:ext>
            <a:ext uri="{147F2762-F138-4A5C-976F-8EAC2B608ADB}">
              <a16:predDERef xmlns:a16="http://schemas.microsoft.com/office/drawing/2014/main" pred="{6D23B6A3-A894-348F-F57D-4FE3AF94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2219325</xdr:colOff>
      <xdr:row>39</xdr:row>
      <xdr:rowOff>180975</xdr:rowOff>
    </xdr:from>
    <xdr:to>
      <xdr:col>10</xdr:col>
      <xdr:colOff>0</xdr:colOff>
      <xdr:row>49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40E343-D13A-59B4-BC33-735C091674D3}"/>
            </a:ext>
            <a:ext uri="{147F2762-F138-4A5C-976F-8EAC2B608ADB}">
              <a16:predDERef xmlns:a16="http://schemas.microsoft.com/office/drawing/2014/main" pred="{63425448-502E-9ECE-C976-CE06DAACB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2219325</xdr:colOff>
      <xdr:row>53</xdr:row>
      <xdr:rowOff>0</xdr:rowOff>
    </xdr:from>
    <xdr:to>
      <xdr:col>9</xdr:col>
      <xdr:colOff>771525</xdr:colOff>
      <xdr:row>64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17390B-5301-0C74-905B-01DC2BDB1249}"/>
            </a:ext>
            <a:ext uri="{147F2762-F138-4A5C-976F-8EAC2B608ADB}">
              <a16:predDERef xmlns:a16="http://schemas.microsoft.com/office/drawing/2014/main" pred="{1F40E343-D13A-59B4-BC33-735C09167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885825</xdr:colOff>
      <xdr:row>66</xdr:row>
      <xdr:rowOff>180975</xdr:rowOff>
    </xdr:from>
    <xdr:to>
      <xdr:col>17</xdr:col>
      <xdr:colOff>542925</xdr:colOff>
      <xdr:row>79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E5BA08-1E14-A59E-29B0-ECF0D0D17AEE}"/>
            </a:ext>
            <a:ext uri="{147F2762-F138-4A5C-976F-8EAC2B608ADB}">
              <a16:predDERef xmlns:a16="http://schemas.microsoft.com/office/drawing/2014/main" pred="{1B17390B-5301-0C74-905B-01DC2BDB1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2219325</xdr:colOff>
      <xdr:row>81</xdr:row>
      <xdr:rowOff>180975</xdr:rowOff>
    </xdr:from>
    <xdr:to>
      <xdr:col>9</xdr:col>
      <xdr:colOff>771525</xdr:colOff>
      <xdr:row>94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6D9620-B606-BDD8-DA8A-2C812EA6E162}"/>
            </a:ext>
            <a:ext uri="{147F2762-F138-4A5C-976F-8EAC2B608ADB}">
              <a16:predDERef xmlns:a16="http://schemas.microsoft.com/office/drawing/2014/main" pred="{13E5BA08-1E14-A59E-29B0-ECF0D0D17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762000</xdr:colOff>
      <xdr:row>19</xdr:row>
      <xdr:rowOff>180975</xdr:rowOff>
    </xdr:from>
    <xdr:to>
      <xdr:col>18</xdr:col>
      <xdr:colOff>542925</xdr:colOff>
      <xdr:row>34</xdr:row>
      <xdr:rowOff>180975</xdr:rowOff>
    </xdr:to>
    <xdr:graphicFrame macro="">
      <xdr:nvGraphicFramePr>
        <xdr:cNvPr id="51" name="Chart 22">
          <a:extLst>
            <a:ext uri="{FF2B5EF4-FFF2-40B4-BE49-F238E27FC236}">
              <a16:creationId xmlns:a16="http://schemas.microsoft.com/office/drawing/2014/main" id="{D914FEE1-E8A5-A604-A164-B6D8BC31B047}"/>
            </a:ext>
            <a:ext uri="{147F2762-F138-4A5C-976F-8EAC2B608ADB}">
              <a16:predDERef xmlns:a16="http://schemas.microsoft.com/office/drawing/2014/main" pred="{456D9620-B606-BDD8-DA8A-2C812EA6E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</xdr:col>
      <xdr:colOff>304800</xdr:colOff>
      <xdr:row>3</xdr:row>
      <xdr:rowOff>0</xdr:rowOff>
    </xdr:from>
    <xdr:to>
      <xdr:col>5</xdr:col>
      <xdr:colOff>485775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Region">
              <a:extLst>
                <a:ext uri="{FF2B5EF4-FFF2-40B4-BE49-F238E27FC236}">
                  <a16:creationId xmlns:a16="http://schemas.microsoft.com/office/drawing/2014/main" id="{D0D2D1FE-91B4-0507-73FF-37B6E17AF2F9}"/>
                </a:ext>
                <a:ext uri="{147F2762-F138-4A5C-976F-8EAC2B608ADB}">
                  <a16:predDERef xmlns:a16="http://schemas.microsoft.com/office/drawing/2014/main" pred="{D914FEE1-E8A5-A604-A164-B6D8BC31B0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57875" y="571500"/>
              <a:ext cx="114300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466725</xdr:colOff>
      <xdr:row>66</xdr:row>
      <xdr:rowOff>161925</xdr:rowOff>
    </xdr:from>
    <xdr:to>
      <xdr:col>8</xdr:col>
      <xdr:colOff>533400</xdr:colOff>
      <xdr:row>76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anager Vlookup">
              <a:extLst>
                <a:ext uri="{FF2B5EF4-FFF2-40B4-BE49-F238E27FC236}">
                  <a16:creationId xmlns:a16="http://schemas.microsoft.com/office/drawing/2014/main" id="{ACF9D632-087A-02A6-B6AB-5393633B3237}"/>
                </a:ext>
                <a:ext uri="{147F2762-F138-4A5C-976F-8EAC2B608ADB}">
                  <a16:predDERef xmlns:a16="http://schemas.microsoft.com/office/drawing/2014/main" pred="{D0D2D1FE-91B4-0507-73FF-37B6E17AF2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ager Vlook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29325" y="12734925"/>
              <a:ext cx="1628775" cy="189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8</xdr:col>
      <xdr:colOff>590550</xdr:colOff>
      <xdr:row>32</xdr:row>
      <xdr:rowOff>180975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B30AD09-FD28-407D-A558-B5AB50E3D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17</xdr:row>
      <xdr:rowOff>0</xdr:rowOff>
    </xdr:from>
    <xdr:to>
      <xdr:col>18</xdr:col>
      <xdr:colOff>600075</xdr:colOff>
      <xdr:row>32</xdr:row>
      <xdr:rowOff>161925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58A84FA-160C-4267-811D-832E307F9554}"/>
            </a:ext>
            <a:ext uri="{147F2762-F138-4A5C-976F-8EAC2B608ADB}">
              <a16:predDERef xmlns:a16="http://schemas.microsoft.com/office/drawing/2014/main" pred="{0B30AD09-FD28-407D-A558-B5AB50E3D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28</xdr:col>
      <xdr:colOff>590550</xdr:colOff>
      <xdr:row>32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ECE793-2D48-4725-BD6F-113A29C1512D}"/>
            </a:ext>
            <a:ext uri="{147F2762-F138-4A5C-976F-8EAC2B608ADB}">
              <a16:predDERef xmlns:a16="http://schemas.microsoft.com/office/drawing/2014/main" pred="{B58A84FA-160C-4267-811D-832E307F9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42</xdr:row>
      <xdr:rowOff>9525</xdr:rowOff>
    </xdr:from>
    <xdr:to>
      <xdr:col>8</xdr:col>
      <xdr:colOff>590550</xdr:colOff>
      <xdr:row>57</xdr:row>
      <xdr:rowOff>171450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497533CA-B7BB-4C09-9A47-83E73DECF592}"/>
            </a:ext>
            <a:ext uri="{147F2762-F138-4A5C-976F-8EAC2B608ADB}">
              <a16:predDERef xmlns:a16="http://schemas.microsoft.com/office/drawing/2014/main" pred="{C4ECE793-2D48-4725-BD6F-113A29C15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42</xdr:row>
      <xdr:rowOff>9525</xdr:rowOff>
    </xdr:from>
    <xdr:to>
      <xdr:col>18</xdr:col>
      <xdr:colOff>600075</xdr:colOff>
      <xdr:row>57</xdr:row>
      <xdr:rowOff>161925</xdr:rowOff>
    </xdr:to>
    <xdr:graphicFrame macro="">
      <xdr:nvGraphicFramePr>
        <xdr:cNvPr id="5" name="Chart 22">
          <a:extLst>
            <a:ext uri="{FF2B5EF4-FFF2-40B4-BE49-F238E27FC236}">
              <a16:creationId xmlns:a16="http://schemas.microsoft.com/office/drawing/2014/main" id="{23532D9B-3CF6-409C-AA09-3B98FCBB3D3F}"/>
            </a:ext>
            <a:ext uri="{147F2762-F138-4A5C-976F-8EAC2B608ADB}">
              <a16:predDERef xmlns:a16="http://schemas.microsoft.com/office/drawing/2014/main" pred="{497533CA-B7BB-4C09-9A47-83E73DECF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9525</xdr:colOff>
      <xdr:row>42</xdr:row>
      <xdr:rowOff>9525</xdr:rowOff>
    </xdr:from>
    <xdr:to>
      <xdr:col>28</xdr:col>
      <xdr:colOff>600075</xdr:colOff>
      <xdr:row>57</xdr:row>
      <xdr:rowOff>171450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7F6D9C8F-6D08-4010-AEA9-4883A3E9E48E}"/>
            </a:ext>
            <a:ext uri="{147F2762-F138-4A5C-976F-8EAC2B608ADB}">
              <a16:predDERef xmlns:a16="http://schemas.microsoft.com/office/drawing/2014/main" pred="{23532D9B-3CF6-409C-AA09-3B98FCBB3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7.191970717591" createdVersion="8" refreshedVersion="8" minRefreshableVersion="3" recordCount="150" xr:uid="{B52C55AF-2FC2-40A7-99A2-CEAB98DA11E8}">
  <cacheSource type="worksheet">
    <worksheetSource ref="A1:T151" sheet="Orders_Clean"/>
  </cacheSource>
  <cacheFields count="20">
    <cacheField name="CustomerID" numFmtId="0">
      <sharedItems/>
    </cacheField>
    <cacheField name="ProductID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10" count="10">
        <n v="4"/>
        <n v="1"/>
        <n v="2"/>
        <n v="10"/>
        <n v="5"/>
        <n v="3"/>
        <n v="9"/>
        <n v="7"/>
        <n v="6"/>
        <n v="8"/>
      </sharedItems>
    </cacheField>
    <cacheField name="Unit Price" numFmtId="2">
      <sharedItems containsSemiMixedTypes="0" containsString="0" containsNumber="1" minValue="7.66" maxValue="299.62"/>
    </cacheField>
    <cacheField name="Order Date" numFmtId="14">
      <sharedItems containsSemiMixedTypes="0" containsNonDate="0" containsDate="1" containsString="0" minDate="2023-01-02T00:00:00" maxDate="2024-06-27T00:00:00"/>
    </cacheField>
    <cacheField name="Delivery Date" numFmtId="14">
      <sharedItems containsSemiMixedTypes="0" containsNonDate="0" containsDate="1" containsString="0" minDate="2023-01-04T00:00:00" maxDate="2024-07-01T00:00:00"/>
    </cacheField>
    <cacheField name="Region" numFmtId="0">
      <sharedItems count="8">
        <s v="West England"/>
        <s v="South England"/>
        <s v="Northern Ireland"/>
        <s v="Midlands"/>
        <s v="North England"/>
        <s v="Scotland"/>
        <s v="East England"/>
        <s v="Wales"/>
      </sharedItems>
    </cacheField>
    <cacheField name="Status" numFmtId="0">
      <sharedItems containsBlank="1"/>
    </cacheField>
    <cacheField name="Sales Rep" numFmtId="0">
      <sharedItems/>
    </cacheField>
    <cacheField name="Notes" numFmtId="0">
      <sharedItems/>
    </cacheField>
    <cacheField name="Field12" caption="Field12" numFmtId="0">
      <sharedItems containsNonDate="0" containsString="0" containsBlank="1" count="1">
        <m/>
      </sharedItems>
    </cacheField>
    <cacheField name="Formulas" numFmtId="0">
      <sharedItems containsNonDate="0" containsString="0" containsBlank="1"/>
    </cacheField>
    <cacheField name="Total Revenue Per Purchase" numFmtId="0">
      <sharedItems containsSemiMixedTypes="0" containsString="0" containsNumber="1" minValue="22.19" maxValue="2916.2"/>
    </cacheField>
    <cacheField name="Delivery Speed 1" numFmtId="0">
      <sharedItems containsSemiMixedTypes="0" containsString="0" containsNumber="1" containsInteger="1" minValue="1" maxValue="14"/>
    </cacheField>
    <cacheField name="Delivery Speed 2" numFmtId="0">
      <sharedItems/>
    </cacheField>
    <cacheField name="Order Date Month" numFmtId="0">
      <sharedItems count="12">
        <s v="January"/>
        <s v="February"/>
        <s v="June"/>
        <s v="September"/>
        <s v="August"/>
        <s v="November"/>
        <s v="October"/>
        <s v="July"/>
        <s v="April"/>
        <s v="May"/>
        <s v="March"/>
        <s v="December"/>
      </sharedItems>
    </cacheField>
    <cacheField name="Order Date Year" numFmtId="0">
      <sharedItems count="2">
        <s v="2024"/>
        <s v="2023"/>
      </sharedItems>
    </cacheField>
    <cacheField name="Order Date Concatenate" numFmtId="0">
      <sharedItems/>
    </cacheField>
    <cacheField name="Category" numFmtId="0">
      <sharedItems count="8">
        <s v="Clothing"/>
        <s v="Sportswear"/>
        <s v="Health"/>
        <s v="Books"/>
        <s v="Stationery"/>
        <s v="Electronics"/>
        <s v="Kitchen"/>
        <s v="Furniture"/>
      </sharedItems>
    </cacheField>
  </cacheFields>
  <extLst>
    <ext xmlns:x14="http://schemas.microsoft.com/office/spreadsheetml/2009/9/main" uri="{725AE2AE-9491-48be-B2B4-4EB974FC3084}">
      <x14:pivotCacheDefinition pivotCacheId="97647801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7.229689699074" createdVersion="8" refreshedVersion="8" minRefreshableVersion="3" recordCount="50" xr:uid="{577F4A06-FEDB-4394-95B5-F472C93CD545}">
  <cacheSource type="worksheet">
    <worksheetSource name="Table516"/>
  </cacheSource>
  <cacheFields count="7">
    <cacheField name="ReturnID" numFmtId="0">
      <sharedItems/>
    </cacheField>
    <cacheField name="ProductID" numFmtId="0">
      <sharedItems/>
    </cacheField>
    <cacheField name="Return Date" numFmtId="14">
      <sharedItems containsSemiMixedTypes="0" containsNonDate="0" containsDate="1" containsString="0" minDate="2023-01-17T00:00:00" maxDate="2024-06-23T00:00:00"/>
    </cacheField>
    <cacheField name="Reason" numFmtId="0">
      <sharedItems count="9">
        <s v="Unknown"/>
        <s v="Defective"/>
        <s v="Damaged"/>
        <s v="Changed mind"/>
        <s v="Too large"/>
        <s v="Wrong item"/>
        <s v="Not as described"/>
        <s v="Duplicate order"/>
        <s v="Too small"/>
      </sharedItems>
    </cacheField>
    <cacheField name="Refund Amount" numFmtId="2">
      <sharedItems containsSemiMixedTypes="0" containsString="0" containsNumber="1" minValue="3.39" maxValue="35735"/>
    </cacheField>
    <cacheField name="Resolved" numFmtId="0">
      <sharedItems/>
    </cacheField>
    <cacheField name="Days to Resolve" numFmtId="0">
      <sharedItems containsSemiMixedTypes="0" containsString="0" containsNumber="1" containsInteger="1" minValue="1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7.586135763886" createdVersion="8" refreshedVersion="8" minRefreshableVersion="3" recordCount="83" xr:uid="{77A8D2C9-6871-4D18-B947-257E96F37EAC}">
  <cacheSource type="worksheet">
    <worksheetSource ref="A1:P84" sheet="Employees_Clean"/>
  </cacheSource>
  <cacheFields count="16">
    <cacheField name="EmployeeID" numFmtId="0">
      <sharedItems/>
    </cacheField>
    <cacheField name="Full Name" numFmtId="0">
      <sharedItems/>
    </cacheField>
    <cacheField name="Department" numFmtId="0">
      <sharedItems count="9">
        <s v="Finance"/>
        <s v="IT"/>
        <s v="Logistics"/>
        <s v="Sales"/>
        <s v="Operations"/>
        <s v="N/A"/>
        <s v="Customer Service"/>
        <s v="Marketing"/>
        <s v="HR"/>
      </sharedItems>
    </cacheField>
    <cacheField name="Hire Date" numFmtId="14">
      <sharedItems containsSemiMixedTypes="0" containsNonDate="0" containsDate="1" containsString="0" minDate="2015-02-19T00:00:00" maxDate="2023-12-03T00:00:00"/>
    </cacheField>
    <cacheField name="Annual Salary" numFmtId="1">
      <sharedItems containsMixedTypes="1" containsNumber="1" containsInteger="1" minValue="22374" maxValue="79551"/>
    </cacheField>
    <cacheField name="Performance Score" numFmtId="0">
      <sharedItems containsSemiMixedTypes="0" containsString="0" containsNumber="1" minValue="1" maxValue="4.9000000000000004"/>
    </cacheField>
    <cacheField name="Email" numFmtId="0">
      <sharedItems/>
    </cacheField>
    <cacheField name="Contract Type" numFmtId="0">
      <sharedItems/>
    </cacheField>
    <cacheField name="Region" numFmtId="0">
      <sharedItems/>
    </cacheField>
    <cacheField name="Field10" caption="Field10" numFmtId="0">
      <sharedItems containsNonDate="0" containsString="0" containsBlank="1"/>
    </cacheField>
    <cacheField name="Formulas" numFmtId="14">
      <sharedItems containsNonDate="0" containsString="0" containsBlank="1"/>
    </cacheField>
    <cacheField name="Performance Score 2" numFmtId="0">
      <sharedItems count="4">
        <s v="Poor"/>
        <s v="Marginal"/>
        <s v="Good"/>
        <s v="Excellent"/>
      </sharedItems>
    </cacheField>
    <cacheField name="Job Grade, Manager, and Office Location" numFmtId="0">
      <sharedItems/>
    </cacheField>
    <cacheField name="Field14" caption="Field14" numFmtId="0">
      <sharedItems/>
    </cacheField>
    <cacheField name="Field15" caption="Field15" numFmtId="0">
      <sharedItems/>
    </cacheField>
    <cacheField name="Manager Vlookup" numFmtId="0">
      <sharedItems count="8">
        <s v="J. Carter"/>
        <s v="T. Williams"/>
        <s v="R. Okafor"/>
        <s v="S. Hughes"/>
        <s v="L. Bennett"/>
        <s v="A. Singh"/>
        <s v="D. Morgan"/>
        <s v="M. Patel"/>
      </sharedItems>
    </cacheField>
  </cacheFields>
  <extLst>
    <ext xmlns:x14="http://schemas.microsoft.com/office/spreadsheetml/2009/9/main" uri="{725AE2AE-9491-48be-B2B4-4EB974FC3084}">
      <x14:pivotCacheDefinition pivotCacheId="13421243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CUST001"/>
    <s v="PRD038"/>
    <s v="Jeans 32X32"/>
    <x v="0"/>
    <n v="97.06"/>
    <d v="2024-01-04T00:00:00"/>
    <d v="2024-01-14T00:00:00"/>
    <x v="0"/>
    <s v="Returned"/>
    <s v="Ruby Hall"/>
    <s v="Express delivery"/>
    <x v="0"/>
    <m/>
    <n v="388.24"/>
    <n v="10"/>
    <s v="Slow"/>
    <x v="0"/>
    <x v="0"/>
    <s v="January 2024"/>
    <x v="0"/>
  </r>
  <r>
    <s v="CUST002"/>
    <s v="PRD017"/>
    <s v="Running Shoes"/>
    <x v="1"/>
    <n v="299.62"/>
    <d v="2024-02-08T00:00:00"/>
    <d v="2024-02-09T00:00:00"/>
    <x v="1"/>
    <s v="Pending"/>
    <s v="Ravi Clarke"/>
    <s v="Blank"/>
    <x v="0"/>
    <m/>
    <n v="299.62"/>
    <n v="1"/>
    <s v="Speedy"/>
    <x v="1"/>
    <x v="0"/>
    <s v="February 2024"/>
    <x v="1"/>
  </r>
  <r>
    <s v="CUST003"/>
    <s v="PRD023"/>
    <s v="First Aid Kit"/>
    <x v="1"/>
    <n v="287.57"/>
    <d v="2023-02-09T00:00:00"/>
    <d v="2023-02-13T00:00:00"/>
    <x v="0"/>
    <s v="Returned"/>
    <s v="Aaron Smith"/>
    <s v="Blank"/>
    <x v="0"/>
    <m/>
    <n v="287.57"/>
    <n v="4"/>
    <s v="Standard"/>
    <x v="1"/>
    <x v="1"/>
    <s v="February 2023"/>
    <x v="2"/>
  </r>
  <r>
    <s v="CUST004"/>
    <s v="PRD035"/>
    <s v="Cook Book 2024"/>
    <x v="2"/>
    <n v="104.67"/>
    <d v="2023-01-26T00:00:00"/>
    <d v="2023-01-28T00:00:00"/>
    <x v="1"/>
    <s v="Processing"/>
    <s v="Noah Hussain"/>
    <s v="Express delivery"/>
    <x v="0"/>
    <m/>
    <n v="209.34"/>
    <n v="2"/>
    <s v="Speedy"/>
    <x v="0"/>
    <x v="1"/>
    <s v="January 2023"/>
    <x v="3"/>
  </r>
  <r>
    <s v="CUST005"/>
    <s v="PRD013"/>
    <s v="Ballpoint Pens X10"/>
    <x v="3"/>
    <n v="261.58"/>
    <d v="2024-06-26T00:00:00"/>
    <d v="2024-06-30T00:00:00"/>
    <x v="2"/>
    <s v="Delivered"/>
    <s v="Callum Ali"/>
    <s v="Blank"/>
    <x v="0"/>
    <m/>
    <n v="2615.7999999999997"/>
    <n v="4"/>
    <s v="Standard"/>
    <x v="2"/>
    <x v="0"/>
    <s v="June 2024"/>
    <x v="4"/>
  </r>
  <r>
    <s v="CUST006"/>
    <s v="PRD022"/>
    <s v="Vitamin D 90Tabs"/>
    <x v="4"/>
    <n v="69.37"/>
    <d v="2023-02-21T00:00:00"/>
    <d v="2023-02-23T00:00:00"/>
    <x v="3"/>
    <s v="Processing"/>
    <s v="Ethan Williams"/>
    <s v="Blank"/>
    <x v="0"/>
    <m/>
    <n v="346.85"/>
    <n v="2"/>
    <s v="Speedy"/>
    <x v="1"/>
    <x v="1"/>
    <s v="February 2023"/>
    <x v="2"/>
  </r>
  <r>
    <s v="CUST007"/>
    <s v="PRD034"/>
    <s v="Business Strategy"/>
    <x v="5"/>
    <n v="119.54"/>
    <d v="2023-09-18T00:00:00"/>
    <d v="2023-09-29T00:00:00"/>
    <x v="4"/>
    <s v="Cancelled"/>
    <s v="Ali Morris"/>
    <s v="Fragile"/>
    <x v="0"/>
    <m/>
    <n v="358.62"/>
    <n v="11"/>
    <s v="Slow"/>
    <x v="3"/>
    <x v="1"/>
    <s v="September 2023"/>
    <x v="3"/>
  </r>
  <r>
    <s v="CUST008"/>
    <s v="PRD002"/>
    <s v="Wireless Mouse"/>
    <x v="6"/>
    <n v="149.61000000000001"/>
    <d v="2023-08-11T00:00:00"/>
    <d v="2023-08-13T00:00:00"/>
    <x v="5"/>
    <s v="Returned"/>
    <s v="Jack Malik"/>
    <s v="Express delivery"/>
    <x v="0"/>
    <m/>
    <n v="1346.4900000000002"/>
    <n v="2"/>
    <s v="Speedy"/>
    <x v="4"/>
    <x v="1"/>
    <s v="August 2023"/>
    <x v="5"/>
  </r>
  <r>
    <s v="CUST009"/>
    <s v="PRD039"/>
    <s v="T-Shirt Pack X3"/>
    <x v="6"/>
    <n v="210.01"/>
    <d v="2023-11-18T00:00:00"/>
    <d v="2023-11-28T00:00:00"/>
    <x v="4"/>
    <s v="Cancelled"/>
    <s v="Zara Baker"/>
    <s v="Leave at door"/>
    <x v="0"/>
    <m/>
    <n v="1890.09"/>
    <n v="10"/>
    <s v="Slow"/>
    <x v="5"/>
    <x v="1"/>
    <s v="November 2023"/>
    <x v="0"/>
  </r>
  <r>
    <s v="CUST010"/>
    <s v="PRD031"/>
    <s v="Novel - The Shift"/>
    <x v="1"/>
    <n v="156.5"/>
    <d v="2023-10-15T00:00:00"/>
    <d v="2023-10-17T00:00:00"/>
    <x v="1"/>
    <s v="Cancelled"/>
    <s v="Hana Evans"/>
    <s v="Gift wrap"/>
    <x v="0"/>
    <m/>
    <n v="156.5"/>
    <n v="2"/>
    <s v="Speedy"/>
    <x v="6"/>
    <x v="1"/>
    <s v="October 2023"/>
    <x v="3"/>
  </r>
  <r>
    <s v="CUST011"/>
    <s v="PRD001"/>
    <s v="Laptop Pro 15"/>
    <x v="1"/>
    <n v="248.83"/>
    <d v="2023-07-26T00:00:00"/>
    <d v="2023-08-09T00:00:00"/>
    <x v="2"/>
    <s v="Delivered"/>
    <s v="Priya Khan"/>
    <s v="Blank"/>
    <x v="0"/>
    <m/>
    <n v="248.83"/>
    <n v="14"/>
    <s v="Slow"/>
    <x v="7"/>
    <x v="1"/>
    <s v="July 2023"/>
    <x v="5"/>
  </r>
  <r>
    <s v="CUST012"/>
    <s v="PRD035"/>
    <s v="Cook Book 2024"/>
    <x v="2"/>
    <n v="89.54"/>
    <d v="2023-04-16T00:00:00"/>
    <d v="2023-04-27T00:00:00"/>
    <x v="1"/>
    <s v="Returned"/>
    <s v="Ali Roberts"/>
    <s v="Express delivery"/>
    <x v="0"/>
    <m/>
    <n v="179.08"/>
    <n v="11"/>
    <s v="Slow"/>
    <x v="8"/>
    <x v="1"/>
    <s v="April 2023"/>
    <x v="3"/>
  </r>
  <r>
    <s v="CUST013"/>
    <s v="PRD011"/>
    <s v="Whiteboard A1"/>
    <x v="3"/>
    <n v="72.28"/>
    <d v="2023-05-16T00:00:00"/>
    <d v="2023-05-26T00:00:00"/>
    <x v="5"/>
    <s v="Pending"/>
    <s v="Luke Singh"/>
    <s v="Express delivery"/>
    <x v="0"/>
    <m/>
    <n v="722.8"/>
    <n v="10"/>
    <s v="Slow"/>
    <x v="9"/>
    <x v="1"/>
    <s v="May 2023"/>
    <x v="4"/>
  </r>
  <r>
    <s v="CUST014"/>
    <s v="PRD003"/>
    <s v="Usb-C Hub"/>
    <x v="0"/>
    <n v="82.31"/>
    <d v="2023-04-15T00:00:00"/>
    <d v="2023-04-20T00:00:00"/>
    <x v="0"/>
    <s v="Processing"/>
    <s v="George Cox"/>
    <s v="Blank"/>
    <x v="0"/>
    <m/>
    <n v="329.24"/>
    <n v="5"/>
    <s v="Standard"/>
    <x v="8"/>
    <x v="1"/>
    <s v="April 2023"/>
    <x v="5"/>
  </r>
  <r>
    <s v="CUST015"/>
    <s v="PRD025"/>
    <s v="Coffee Maker"/>
    <x v="2"/>
    <n v="222.09"/>
    <d v="2024-05-21T00:00:00"/>
    <d v="2024-05-28T00:00:00"/>
    <x v="0"/>
    <s v="Cancelled"/>
    <s v="Nina Walker"/>
    <s v="Gift wrap"/>
    <x v="0"/>
    <m/>
    <n v="444.18"/>
    <n v="7"/>
    <s v="Slow"/>
    <x v="9"/>
    <x v="0"/>
    <s v="May 2024"/>
    <x v="6"/>
  </r>
  <r>
    <s v="CUST016"/>
    <s v="PRD006"/>
    <s v="Webcam Hd"/>
    <x v="5"/>
    <n v="7.66"/>
    <d v="2023-05-07T00:00:00"/>
    <d v="2023-05-09T00:00:00"/>
    <x v="4"/>
    <s v="Cancelled"/>
    <s v="Nadia Cooper"/>
    <s v="Blank"/>
    <x v="0"/>
    <m/>
    <n v="22.98"/>
    <n v="2"/>
    <s v="Speedy"/>
    <x v="9"/>
    <x v="1"/>
    <s v="May 2023"/>
    <x v="5"/>
  </r>
  <r>
    <s v="CUST017"/>
    <s v="PRD031"/>
    <s v="Novel - The Shift"/>
    <x v="2"/>
    <n v="237.33"/>
    <d v="2023-04-25T00:00:00"/>
    <d v="2023-05-02T00:00:00"/>
    <x v="0"/>
    <s v="Delivered"/>
    <s v="Daniel Gupta"/>
    <s v="Blank"/>
    <x v="0"/>
    <m/>
    <n v="474.66"/>
    <n v="7"/>
    <s v="Slow"/>
    <x v="8"/>
    <x v="1"/>
    <s v="April 2023"/>
    <x v="3"/>
  </r>
  <r>
    <s v="CUST018"/>
    <s v="PRD002"/>
    <s v="Wireless Mouse"/>
    <x v="1"/>
    <n v="132.71"/>
    <d v="2023-07-14T00:00:00"/>
    <d v="2023-07-25T00:00:00"/>
    <x v="6"/>
    <s v="Cancelled"/>
    <s v="James Singh"/>
    <s v="Gift wrap"/>
    <x v="0"/>
    <m/>
    <n v="132.71"/>
    <n v="11"/>
    <s v="Slow"/>
    <x v="7"/>
    <x v="1"/>
    <s v="July 2023"/>
    <x v="5"/>
  </r>
  <r>
    <s v="CUST019"/>
    <s v="PRD020"/>
    <s v="Water Bottle"/>
    <x v="1"/>
    <n v="90.83"/>
    <d v="2023-07-18T00:00:00"/>
    <d v="2023-08-01T00:00:00"/>
    <x v="7"/>
    <s v="Processing"/>
    <s v="Noah Foster"/>
    <s v="Blank"/>
    <x v="0"/>
    <m/>
    <n v="90.83"/>
    <n v="14"/>
    <s v="Slow"/>
    <x v="7"/>
    <x v="1"/>
    <s v="July 2023"/>
    <x v="1"/>
  </r>
  <r>
    <s v="CUST020"/>
    <s v="PRD008"/>
    <s v="Standing Desk"/>
    <x v="1"/>
    <n v="119.57"/>
    <d v="2023-03-20T00:00:00"/>
    <d v="2023-03-27T00:00:00"/>
    <x v="5"/>
    <s v="Delivered"/>
    <s v="Ethan King"/>
    <s v="Fragile"/>
    <x v="0"/>
    <m/>
    <n v="119.57"/>
    <n v="7"/>
    <s v="Slow"/>
    <x v="10"/>
    <x v="1"/>
    <s v="March 2023"/>
    <x v="7"/>
  </r>
  <r>
    <s v="CUST021"/>
    <s v="PRD009"/>
    <s v="Desk Lamp"/>
    <x v="7"/>
    <n v="212.82"/>
    <d v="2023-07-22T00:00:00"/>
    <d v="2023-07-30T00:00:00"/>
    <x v="4"/>
    <s v="Returned"/>
    <s v="Sophie Bailey"/>
    <s v="Leave at door"/>
    <x v="0"/>
    <m/>
    <n v="1489.74"/>
    <n v="8"/>
    <s v="Slow"/>
    <x v="7"/>
    <x v="1"/>
    <s v="July 2023"/>
    <x v="7"/>
  </r>
  <r>
    <s v="CUST022"/>
    <s v="PRD021"/>
    <s v="Protein Powder 1Kg"/>
    <x v="0"/>
    <n v="63.48"/>
    <d v="2023-01-14T00:00:00"/>
    <d v="2023-01-28T00:00:00"/>
    <x v="6"/>
    <s v="Cancelled"/>
    <s v="Grace Bailey"/>
    <s v="Gift wrap"/>
    <x v="0"/>
    <m/>
    <n v="253.92"/>
    <n v="14"/>
    <s v="Slow"/>
    <x v="0"/>
    <x v="1"/>
    <s v="January 2023"/>
    <x v="2"/>
  </r>
  <r>
    <s v="CUST023"/>
    <s v="PRD012"/>
    <s v="Notebook Pack"/>
    <x v="1"/>
    <n v="153.71"/>
    <d v="2023-11-21T00:00:00"/>
    <d v="2023-11-26T00:00:00"/>
    <x v="0"/>
    <s v="Pending"/>
    <s v="Olivia Thomas"/>
    <s v="Blank"/>
    <x v="0"/>
    <m/>
    <n v="153.71"/>
    <n v="5"/>
    <s v="Standard"/>
    <x v="5"/>
    <x v="1"/>
    <s v="November 2023"/>
    <x v="4"/>
  </r>
  <r>
    <s v="CUST024"/>
    <s v="PRD038"/>
    <s v="Jeans 32X32"/>
    <x v="1"/>
    <n v="120.98"/>
    <d v="2023-12-17T00:00:00"/>
    <d v="2023-12-21T00:00:00"/>
    <x v="3"/>
    <s v="Processing"/>
    <s v="Olivia Bailey"/>
    <s v="Express delivery"/>
    <x v="0"/>
    <m/>
    <n v="120.98"/>
    <n v="4"/>
    <s v="Standard"/>
    <x v="11"/>
    <x v="1"/>
    <s v="December 2023"/>
    <x v="0"/>
  </r>
  <r>
    <s v="CUST025"/>
    <s v="PRD004"/>
    <s v="Mechanical Keyboard"/>
    <x v="5"/>
    <n v="88.41"/>
    <d v="2023-09-23T00:00:00"/>
    <d v="2023-09-29T00:00:00"/>
    <x v="4"/>
    <s v="Cancelled"/>
    <s v="Lily Davies"/>
    <s v="Blank"/>
    <x v="0"/>
    <m/>
    <n v="265.23"/>
    <n v="6"/>
    <s v="Standard"/>
    <x v="3"/>
    <x v="1"/>
    <s v="September 2023"/>
    <x v="5"/>
  </r>
  <r>
    <s v="CUST026"/>
    <s v="PRD001"/>
    <s v="Laptop Pro 15"/>
    <x v="8"/>
    <n v="96.36"/>
    <d v="2023-10-03T00:00:00"/>
    <d v="2023-10-15T00:00:00"/>
    <x v="6"/>
    <s v="Delivered"/>
    <s v="Sophie Williams"/>
    <s v="Leave at door"/>
    <x v="0"/>
    <m/>
    <n v="578.16"/>
    <n v="12"/>
    <s v="Slow"/>
    <x v="6"/>
    <x v="1"/>
    <s v="October 2023"/>
    <x v="5"/>
  </r>
  <r>
    <s v="CUST027"/>
    <s v="PRD004"/>
    <s v="Mechanical Keyboard"/>
    <x v="1"/>
    <n v="28.58"/>
    <d v="2024-01-24T00:00:00"/>
    <d v="2024-02-05T00:00:00"/>
    <x v="2"/>
    <s v="Returned"/>
    <s v="James Thomas"/>
    <s v="Fragile"/>
    <x v="0"/>
    <m/>
    <n v="28.58"/>
    <n v="12"/>
    <s v="Slow"/>
    <x v="0"/>
    <x v="0"/>
    <s v="January 2024"/>
    <x v="5"/>
  </r>
  <r>
    <s v="CUST028"/>
    <s v="PRD010"/>
    <s v="Filing Cabinet"/>
    <x v="1"/>
    <n v="238.81"/>
    <d v="2024-05-08T00:00:00"/>
    <d v="2024-05-18T00:00:00"/>
    <x v="3"/>
    <s v="Returned"/>
    <s v="Ella Hussain"/>
    <s v="Blank"/>
    <x v="0"/>
    <m/>
    <n v="238.81"/>
    <n v="10"/>
    <s v="Slow"/>
    <x v="9"/>
    <x v="0"/>
    <s v="May 2024"/>
    <x v="7"/>
  </r>
  <r>
    <s v="CUST029"/>
    <s v="PRD010"/>
    <s v="Filing Cabinet"/>
    <x v="6"/>
    <n v="267.01"/>
    <d v="2024-06-16T00:00:00"/>
    <d v="2024-06-19T00:00:00"/>
    <x v="2"/>
    <s v="Delivered"/>
    <s v="Leo Bell"/>
    <s v="Express delivery"/>
    <x v="0"/>
    <m/>
    <n v="2403.09"/>
    <n v="3"/>
    <s v="Speedy"/>
    <x v="2"/>
    <x v="0"/>
    <s v="June 2024"/>
    <x v="7"/>
  </r>
  <r>
    <s v="CUST030"/>
    <s v="PRD004"/>
    <s v="Mechanical Keyboard"/>
    <x v="3"/>
    <n v="16.71"/>
    <d v="2023-11-29T00:00:00"/>
    <d v="2023-12-06T00:00:00"/>
    <x v="3"/>
    <s v="Pending"/>
    <s v="Finn Clarke"/>
    <s v="Express delivery"/>
    <x v="0"/>
    <m/>
    <n v="167.10000000000002"/>
    <n v="7"/>
    <s v="Slow"/>
    <x v="5"/>
    <x v="1"/>
    <s v="November 2023"/>
    <x v="5"/>
  </r>
  <r>
    <s v="CUST031"/>
    <s v="PRD019"/>
    <s v="Yoga Mat"/>
    <x v="6"/>
    <n v="14.1"/>
    <d v="2023-12-15T00:00:00"/>
    <d v="2023-12-28T00:00:00"/>
    <x v="1"/>
    <s v="Pending"/>
    <s v="Mohammed Roberts"/>
    <s v="Fragile"/>
    <x v="0"/>
    <m/>
    <n v="126.89999999999999"/>
    <n v="13"/>
    <s v="Slow"/>
    <x v="11"/>
    <x v="1"/>
    <s v="December 2023"/>
    <x v="1"/>
  </r>
  <r>
    <s v="CUST032"/>
    <s v="PRD016"/>
    <s v="Stapler"/>
    <x v="6"/>
    <n v="70.34"/>
    <d v="2024-02-09T00:00:00"/>
    <d v="2024-02-18T00:00:00"/>
    <x v="0"/>
    <s v="Cancelled"/>
    <s v="Nadia Singh"/>
    <s v="Blank"/>
    <x v="0"/>
    <m/>
    <n v="633.06000000000006"/>
    <n v="9"/>
    <s v="Slow"/>
    <x v="1"/>
    <x v="0"/>
    <s v="February 2024"/>
    <x v="4"/>
  </r>
  <r>
    <s v="CUST033"/>
    <s v="PRD033"/>
    <s v="Data Science Handbook"/>
    <x v="4"/>
    <n v="143.53"/>
    <d v="2023-12-05T00:00:00"/>
    <d v="2023-12-12T00:00:00"/>
    <x v="5"/>
    <s v="Processing"/>
    <s v="Daniel Clarke"/>
    <s v="Fragile"/>
    <x v="0"/>
    <m/>
    <n v="717.65"/>
    <n v="7"/>
    <s v="Slow"/>
    <x v="11"/>
    <x v="1"/>
    <s v="December 2023"/>
    <x v="3"/>
  </r>
  <r>
    <s v="CUST034"/>
    <s v="PRD032"/>
    <s v="Python For Beginners"/>
    <x v="4"/>
    <n v="219.96"/>
    <d v="2023-10-28T00:00:00"/>
    <d v="2023-11-01T00:00:00"/>
    <x v="7"/>
    <s v="Processing"/>
    <s v="Ravi Roberts"/>
    <s v="Blank"/>
    <x v="0"/>
    <m/>
    <n v="1099.8"/>
    <n v="4"/>
    <s v="Standard"/>
    <x v="6"/>
    <x v="1"/>
    <s v="October 2023"/>
    <x v="3"/>
  </r>
  <r>
    <s v="CUST035"/>
    <s v="PRD030"/>
    <s v="Mug Set X4"/>
    <x v="6"/>
    <n v="202.75"/>
    <d v="2023-01-08T00:00:00"/>
    <d v="2023-01-10T00:00:00"/>
    <x v="6"/>
    <s v="Processing"/>
    <s v="Aaron Singh"/>
    <s v="Gift wrap"/>
    <x v="0"/>
    <m/>
    <n v="1824.75"/>
    <n v="2"/>
    <s v="Speedy"/>
    <x v="0"/>
    <x v="1"/>
    <s v="January 2023"/>
    <x v="6"/>
  </r>
  <r>
    <s v="CUST036"/>
    <s v="PRD021"/>
    <s v="Protein Powder 1Kg"/>
    <x v="3"/>
    <n v="16.53"/>
    <d v="2023-01-21T00:00:00"/>
    <d v="2023-01-24T00:00:00"/>
    <x v="4"/>
    <s v="Returned"/>
    <s v="Adam Baker"/>
    <s v="Blank"/>
    <x v="0"/>
    <m/>
    <n v="165.3"/>
    <n v="3"/>
    <s v="Speedy"/>
    <x v="0"/>
    <x v="1"/>
    <s v="January 2023"/>
    <x v="2"/>
  </r>
  <r>
    <s v="CUST037"/>
    <s v="PRD040"/>
    <s v="Trainers Size 9"/>
    <x v="7"/>
    <n v="17.350000000000001"/>
    <d v="2024-02-16T00:00:00"/>
    <d v="2024-02-17T00:00:00"/>
    <x v="2"/>
    <s v="Processing"/>
    <s v="Hana Clarke"/>
    <s v="Blank"/>
    <x v="0"/>
    <m/>
    <n v="121.45000000000002"/>
    <n v="1"/>
    <s v="Speedy"/>
    <x v="1"/>
    <x v="0"/>
    <s v="February 2024"/>
    <x v="0"/>
  </r>
  <r>
    <s v="CUST038"/>
    <s v="PRD015"/>
    <s v="Printer Paper A4"/>
    <x v="3"/>
    <n v="153.61000000000001"/>
    <d v="2024-05-09T00:00:00"/>
    <d v="2024-05-12T00:00:00"/>
    <x v="3"/>
    <s v="Processing"/>
    <s v="Grace Walker"/>
    <s v="Gift wrap"/>
    <x v="0"/>
    <m/>
    <n v="1536.1000000000001"/>
    <n v="3"/>
    <s v="Speedy"/>
    <x v="9"/>
    <x v="0"/>
    <s v="May 2024"/>
    <x v="4"/>
  </r>
  <r>
    <s v="CUST039"/>
    <s v="PRD024"/>
    <s v="Resistance Bands"/>
    <x v="2"/>
    <n v="76.22"/>
    <d v="2024-04-15T00:00:00"/>
    <d v="2024-04-25T00:00:00"/>
    <x v="6"/>
    <s v="Delivered"/>
    <s v="Tara Ali"/>
    <s v="Blank"/>
    <x v="0"/>
    <m/>
    <n v="152.44"/>
    <n v="10"/>
    <s v="Slow"/>
    <x v="8"/>
    <x v="0"/>
    <s v="April 2024"/>
    <x v="2"/>
  </r>
  <r>
    <s v="CUST040"/>
    <s v="PRD032"/>
    <s v="Python For Beginners"/>
    <x v="4"/>
    <n v="252.06"/>
    <d v="2024-02-04T00:00:00"/>
    <d v="2024-02-09T00:00:00"/>
    <x v="7"/>
    <s v="Cancelled"/>
    <s v="Mohammed Brown"/>
    <s v="Blank"/>
    <x v="0"/>
    <m/>
    <n v="1260.3"/>
    <n v="5"/>
    <s v="Standard"/>
    <x v="1"/>
    <x v="0"/>
    <s v="February 2024"/>
    <x v="3"/>
  </r>
  <r>
    <s v="CUST041"/>
    <s v="PRD025"/>
    <s v="Coffee Maker"/>
    <x v="4"/>
    <n v="265.83999999999997"/>
    <d v="2024-02-18T00:00:00"/>
    <d v="2024-02-24T00:00:00"/>
    <x v="4"/>
    <s v="Returned"/>
    <s v="Noah Bell"/>
    <s v="Blank"/>
    <x v="0"/>
    <m/>
    <n v="1329.1999999999998"/>
    <n v="6"/>
    <s v="Standard"/>
    <x v="1"/>
    <x v="0"/>
    <s v="February 2024"/>
    <x v="6"/>
  </r>
  <r>
    <s v="CUST042"/>
    <s v="PRD017"/>
    <s v="Running Shoes"/>
    <x v="8"/>
    <n v="119.84"/>
    <d v="2023-06-15T00:00:00"/>
    <d v="2023-06-21T00:00:00"/>
    <x v="4"/>
    <s v="Returned"/>
    <s v="Ruby Foster"/>
    <s v="Blank"/>
    <x v="0"/>
    <m/>
    <n v="719.04"/>
    <n v="6"/>
    <s v="Standard"/>
    <x v="2"/>
    <x v="1"/>
    <s v="June 2023"/>
    <x v="1"/>
  </r>
  <r>
    <s v="CUST043"/>
    <s v="PRD033"/>
    <s v="Data Science Handbook"/>
    <x v="2"/>
    <n v="271.31"/>
    <d v="2023-08-17T00:00:00"/>
    <d v="2023-08-29T00:00:00"/>
    <x v="5"/>
    <s v="Cancelled"/>
    <s v="Owen Green"/>
    <s v="Blank"/>
    <x v="0"/>
    <m/>
    <n v="542.62"/>
    <n v="12"/>
    <s v="Slow"/>
    <x v="4"/>
    <x v="1"/>
    <s v="August 2023"/>
    <x v="3"/>
  </r>
  <r>
    <s v="CUST044"/>
    <s v="PRD018"/>
    <s v="Gym Bag"/>
    <x v="5"/>
    <n v="188.01"/>
    <d v="2024-05-07T00:00:00"/>
    <d v="2024-05-13T00:00:00"/>
    <x v="2"/>
    <s v="Processing"/>
    <s v="Grace Foster"/>
    <s v="Blank"/>
    <x v="0"/>
    <m/>
    <n v="564.03"/>
    <n v="6"/>
    <s v="Standard"/>
    <x v="9"/>
    <x v="0"/>
    <s v="May 2024"/>
    <x v="1"/>
  </r>
  <r>
    <s v="CUST045"/>
    <s v="PRD025"/>
    <s v="Coffee Maker"/>
    <x v="8"/>
    <n v="209.94"/>
    <d v="2024-05-05T00:00:00"/>
    <d v="2024-05-18T00:00:00"/>
    <x v="7"/>
    <s v="Pending"/>
    <s v="James Scott"/>
    <s v="Leave at door"/>
    <x v="0"/>
    <m/>
    <n v="1259.6399999999999"/>
    <n v="13"/>
    <s v="Slow"/>
    <x v="9"/>
    <x v="0"/>
    <s v="May 2024"/>
    <x v="6"/>
  </r>
  <r>
    <s v="CUST046"/>
    <s v="PRD017"/>
    <s v="Running Shoes"/>
    <x v="8"/>
    <n v="73.67"/>
    <d v="2023-05-29T00:00:00"/>
    <d v="2023-06-02T00:00:00"/>
    <x v="5"/>
    <s v="Processing"/>
    <s v="Leo Ahmed"/>
    <s v="Blank"/>
    <x v="0"/>
    <m/>
    <n v="442.02"/>
    <n v="4"/>
    <s v="Standard"/>
    <x v="9"/>
    <x v="1"/>
    <s v="May 2023"/>
    <x v="1"/>
  </r>
  <r>
    <s v="CUST047"/>
    <s v="PRD012"/>
    <s v="Notebook Pack"/>
    <x v="9"/>
    <n v="102.27"/>
    <d v="2024-05-06T00:00:00"/>
    <d v="2024-05-07T00:00:00"/>
    <x v="4"/>
    <s v="Returned"/>
    <s v="Max Patel"/>
    <s v="Blank"/>
    <x v="0"/>
    <m/>
    <n v="818.16"/>
    <n v="1"/>
    <s v="Speedy"/>
    <x v="9"/>
    <x v="0"/>
    <s v="May 2024"/>
    <x v="4"/>
  </r>
  <r>
    <s v="CUST048"/>
    <s v="PRD034"/>
    <s v="Business Strategy"/>
    <x v="7"/>
    <n v="235.41"/>
    <d v="2024-01-16T00:00:00"/>
    <d v="2024-01-29T00:00:00"/>
    <x v="5"/>
    <s v="Returned"/>
    <s v="Sophie Khan"/>
    <s v="Blank"/>
    <x v="0"/>
    <m/>
    <n v="1647.87"/>
    <n v="13"/>
    <s v="Slow"/>
    <x v="0"/>
    <x v="0"/>
    <s v="January 2024"/>
    <x v="3"/>
  </r>
  <r>
    <s v="CUST049"/>
    <s v="PRD029"/>
    <s v="French Press"/>
    <x v="3"/>
    <n v="124.09"/>
    <d v="2024-02-17T00:00:00"/>
    <d v="2024-02-25T00:00:00"/>
    <x v="7"/>
    <s v="Cancelled"/>
    <s v="Ali Hussain"/>
    <s v="Blank"/>
    <x v="0"/>
    <m/>
    <n v="1240.9000000000001"/>
    <n v="8"/>
    <s v="Slow"/>
    <x v="1"/>
    <x v="0"/>
    <s v="February 2024"/>
    <x v="6"/>
  </r>
  <r>
    <s v="CUST050"/>
    <s v="PRD026"/>
    <s v="Toaster"/>
    <x v="1"/>
    <n v="35.369999999999997"/>
    <d v="2023-09-02T00:00:00"/>
    <d v="2023-09-09T00:00:00"/>
    <x v="2"/>
    <s v="Delivered"/>
    <s v="Owen Ahmed"/>
    <s v="Express delivery"/>
    <x v="0"/>
    <m/>
    <n v="35.369999999999997"/>
    <n v="7"/>
    <s v="Slow"/>
    <x v="3"/>
    <x v="1"/>
    <s v="September 2023"/>
    <x v="6"/>
  </r>
  <r>
    <s v="CUST051"/>
    <s v="PRD027"/>
    <s v="Blender Pro"/>
    <x v="7"/>
    <n v="259.49"/>
    <d v="2023-04-26T00:00:00"/>
    <d v="2023-05-05T00:00:00"/>
    <x v="1"/>
    <s v="Pending"/>
    <s v="Luke Ahmed"/>
    <s v="Blank"/>
    <x v="0"/>
    <m/>
    <n v="1816.43"/>
    <n v="9"/>
    <s v="Slow"/>
    <x v="8"/>
    <x v="1"/>
    <s v="April 2023"/>
    <x v="6"/>
  </r>
  <r>
    <s v="CUST052"/>
    <s v="PRD026"/>
    <s v="Toaster"/>
    <x v="7"/>
    <n v="286.95"/>
    <d v="2024-01-01T00:00:00"/>
    <d v="2024-01-05T00:00:00"/>
    <x v="7"/>
    <s v="Returned"/>
    <s v="Ella Taylor"/>
    <s v="Blank"/>
    <x v="0"/>
    <m/>
    <n v="2008.6499999999999"/>
    <n v="4"/>
    <s v="Standard"/>
    <x v="0"/>
    <x v="0"/>
    <s v="January 2024"/>
    <x v="6"/>
  </r>
  <r>
    <s v="CUST053"/>
    <s v="PRD020"/>
    <s v="Water Bottle"/>
    <x v="3"/>
    <n v="100.14"/>
    <d v="2023-05-07T00:00:00"/>
    <d v="2023-05-18T00:00:00"/>
    <x v="2"/>
    <s v="Processing"/>
    <s v="Sam Walker"/>
    <s v="Blank"/>
    <x v="0"/>
    <m/>
    <n v="1001.4"/>
    <n v="11"/>
    <s v="Slow"/>
    <x v="9"/>
    <x v="1"/>
    <s v="May 2023"/>
    <x v="1"/>
  </r>
  <r>
    <s v="CUST054"/>
    <s v="PRD009"/>
    <s v="Desk Lamp"/>
    <x v="4"/>
    <n v="180.52"/>
    <d v="2024-05-28T00:00:00"/>
    <d v="2024-06-11T00:00:00"/>
    <x v="3"/>
    <s v="Pending"/>
    <s v="Ruby Baker"/>
    <s v="Express delivery"/>
    <x v="0"/>
    <m/>
    <n v="902.6"/>
    <n v="14"/>
    <s v="Slow"/>
    <x v="9"/>
    <x v="0"/>
    <s v="May 2024"/>
    <x v="7"/>
  </r>
  <r>
    <s v="CUST055"/>
    <s v="PRD003"/>
    <s v="Usb-C Hub"/>
    <x v="8"/>
    <n v="207.24"/>
    <d v="2023-09-21T00:00:00"/>
    <d v="2023-10-03T00:00:00"/>
    <x v="0"/>
    <s v="Cancelled"/>
    <s v="Noah Sharma"/>
    <s v="Fragile"/>
    <x v="0"/>
    <m/>
    <n v="1243.44"/>
    <n v="12"/>
    <s v="Slow"/>
    <x v="3"/>
    <x v="1"/>
    <s v="September 2023"/>
    <x v="5"/>
  </r>
  <r>
    <s v="CUST056"/>
    <s v="PRD017"/>
    <s v="Running Shoes"/>
    <x v="0"/>
    <n v="92.11"/>
    <d v="2023-05-13T00:00:00"/>
    <d v="2023-05-14T00:00:00"/>
    <x v="5"/>
    <s v="Returned"/>
    <s v="Lucas Thomas"/>
    <s v="Fragile"/>
    <x v="0"/>
    <m/>
    <n v="368.44"/>
    <n v="1"/>
    <s v="Speedy"/>
    <x v="9"/>
    <x v="1"/>
    <s v="May 2023"/>
    <x v="1"/>
  </r>
  <r>
    <s v="CUST057"/>
    <s v="PRD036"/>
    <s v="Self Help Guide"/>
    <x v="5"/>
    <n v="162.19999999999999"/>
    <d v="2024-02-03T00:00:00"/>
    <d v="2024-02-05T00:00:00"/>
    <x v="3"/>
    <s v="Returned"/>
    <s v="Josh Ahmed"/>
    <s v="Blank"/>
    <x v="0"/>
    <m/>
    <n v="486.59999999999997"/>
    <n v="2"/>
    <s v="Speedy"/>
    <x v="1"/>
    <x v="0"/>
    <s v="February 2024"/>
    <x v="3"/>
  </r>
  <r>
    <s v="CUST058"/>
    <s v="PRD009"/>
    <s v="Desk Lamp"/>
    <x v="0"/>
    <n v="125.94"/>
    <d v="2023-03-07T00:00:00"/>
    <d v="2023-03-14T00:00:00"/>
    <x v="6"/>
    <s v="Cancelled"/>
    <s v="Callum Thomas"/>
    <s v="Blank"/>
    <x v="0"/>
    <m/>
    <n v="503.76"/>
    <n v="7"/>
    <s v="Slow"/>
    <x v="10"/>
    <x v="1"/>
    <s v="March 2023"/>
    <x v="7"/>
  </r>
  <r>
    <s v="CUST059"/>
    <s v="PRD031"/>
    <s v="Novel - The Shift"/>
    <x v="4"/>
    <n v="152.97999999999999"/>
    <d v="2023-10-20T00:00:00"/>
    <d v="2023-11-03T00:00:00"/>
    <x v="7"/>
    <s v="Returned"/>
    <s v="Amy Green"/>
    <s v="Express delivery"/>
    <x v="0"/>
    <m/>
    <n v="764.9"/>
    <n v="14"/>
    <s v="Slow"/>
    <x v="6"/>
    <x v="1"/>
    <s v="October 2023"/>
    <x v="3"/>
  </r>
  <r>
    <s v="CUST060"/>
    <s v="PRD040"/>
    <s v="Trainers Size 9"/>
    <x v="5"/>
    <n v="86.83"/>
    <d v="2024-03-26T00:00:00"/>
    <d v="2024-04-02T00:00:00"/>
    <x v="0"/>
    <s v="Delivered"/>
    <s v="George Bell"/>
    <s v="Express delivery"/>
    <x v="0"/>
    <m/>
    <n v="260.49"/>
    <n v="7"/>
    <s v="Slow"/>
    <x v="10"/>
    <x v="0"/>
    <s v="March 2024"/>
    <x v="0"/>
  </r>
  <r>
    <s v="CUST061"/>
    <s v="PRD026"/>
    <s v="Toaster"/>
    <x v="8"/>
    <n v="88.19"/>
    <d v="2024-03-11T00:00:00"/>
    <d v="2024-03-15T00:00:00"/>
    <x v="3"/>
    <s v="Pending"/>
    <s v="Sarah Baker"/>
    <s v="Blank"/>
    <x v="0"/>
    <m/>
    <n v="529.14"/>
    <n v="4"/>
    <s v="Standard"/>
    <x v="10"/>
    <x v="0"/>
    <s v="March 2024"/>
    <x v="6"/>
  </r>
  <r>
    <s v="CUST062"/>
    <s v="PRD040"/>
    <s v="Trainers Size 9"/>
    <x v="0"/>
    <n v="272.14"/>
    <d v="2023-05-18T00:00:00"/>
    <d v="2023-05-30T00:00:00"/>
    <x v="6"/>
    <s v="Pending"/>
    <s v="Charlotte Ahmed"/>
    <s v="Blank"/>
    <x v="0"/>
    <m/>
    <n v="1088.56"/>
    <n v="12"/>
    <s v="Slow"/>
    <x v="9"/>
    <x v="1"/>
    <s v="May 2023"/>
    <x v="0"/>
  </r>
  <r>
    <s v="CUST063"/>
    <s v="PRD006"/>
    <s v="Webcam Hd"/>
    <x v="7"/>
    <n v="138.99"/>
    <d v="2023-01-05T00:00:00"/>
    <d v="2023-01-19T00:00:00"/>
    <x v="0"/>
    <s v="Pending"/>
    <s v="Emma Taylor"/>
    <s v="Gift wrap"/>
    <x v="0"/>
    <m/>
    <n v="972.93000000000006"/>
    <n v="14"/>
    <s v="Slow"/>
    <x v="0"/>
    <x v="1"/>
    <s v="January 2023"/>
    <x v="5"/>
  </r>
  <r>
    <s v="CUST064"/>
    <s v="PRD024"/>
    <s v="Resistance Bands"/>
    <x v="1"/>
    <n v="54.94"/>
    <d v="2024-01-10T00:00:00"/>
    <d v="2024-01-16T00:00:00"/>
    <x v="5"/>
    <s v="Processing"/>
    <s v="Ethan Shah"/>
    <s v="Gift wrap"/>
    <x v="0"/>
    <m/>
    <n v="54.94"/>
    <n v="6"/>
    <s v="Standard"/>
    <x v="0"/>
    <x v="0"/>
    <s v="January 2024"/>
    <x v="2"/>
  </r>
  <r>
    <s v="CUST065"/>
    <s v="PRD001"/>
    <s v="Laptop Pro 15"/>
    <x v="2"/>
    <n v="22.26"/>
    <d v="2023-01-12T00:00:00"/>
    <d v="2023-01-23T00:00:00"/>
    <x v="7"/>
    <s v="Cancelled"/>
    <s v="Jack Johnson"/>
    <s v="Blank"/>
    <x v="0"/>
    <m/>
    <n v="44.52"/>
    <n v="11"/>
    <s v="Slow"/>
    <x v="0"/>
    <x v="1"/>
    <s v="January 2023"/>
    <x v="5"/>
  </r>
  <r>
    <s v="CUST066"/>
    <s v="PRD023"/>
    <s v="First Aid Kit"/>
    <x v="2"/>
    <n v="121.54"/>
    <d v="2024-04-29T00:00:00"/>
    <d v="2024-05-05T00:00:00"/>
    <x v="7"/>
    <s v="Returned"/>
    <s v="Callum Green"/>
    <s v="Blank"/>
    <x v="0"/>
    <m/>
    <n v="243.08"/>
    <n v="6"/>
    <s v="Standard"/>
    <x v="8"/>
    <x v="0"/>
    <s v="April 2024"/>
    <x v="2"/>
  </r>
  <r>
    <s v="CUST067"/>
    <s v="PRD034"/>
    <s v="Business Strategy"/>
    <x v="4"/>
    <n v="159.4"/>
    <d v="2024-06-14T00:00:00"/>
    <d v="2024-06-27T00:00:00"/>
    <x v="7"/>
    <s v="Cancelled"/>
    <s v="Lily Roberts"/>
    <s v="Blank"/>
    <x v="0"/>
    <m/>
    <n v="797"/>
    <n v="13"/>
    <s v="Slow"/>
    <x v="2"/>
    <x v="0"/>
    <s v="June 2024"/>
    <x v="3"/>
  </r>
  <r>
    <s v="CUST068"/>
    <s v="PRD006"/>
    <s v="Webcam Hd"/>
    <x v="7"/>
    <n v="213"/>
    <d v="2023-11-07T00:00:00"/>
    <d v="2023-11-08T00:00:00"/>
    <x v="6"/>
    <s v="Cancelled"/>
    <s v="Blank"/>
    <s v="Blank"/>
    <x v="0"/>
    <m/>
    <n v="1491"/>
    <n v="1"/>
    <s v="Speedy"/>
    <x v="5"/>
    <x v="1"/>
    <s v="November 2023"/>
    <x v="5"/>
  </r>
  <r>
    <s v="CUST069"/>
    <s v="PRD023"/>
    <s v="First Aid Kit"/>
    <x v="8"/>
    <n v="105.98"/>
    <d v="2023-09-07T00:00:00"/>
    <d v="2023-09-08T00:00:00"/>
    <x v="1"/>
    <s v="Returned"/>
    <s v="Mohammed Walker"/>
    <s v="Gift wrap"/>
    <x v="0"/>
    <m/>
    <n v="635.88"/>
    <n v="1"/>
    <s v="Speedy"/>
    <x v="3"/>
    <x v="1"/>
    <s v="September 2023"/>
    <x v="2"/>
  </r>
  <r>
    <s v="CUST070"/>
    <s v="PRD017"/>
    <s v="Running Shoes"/>
    <x v="8"/>
    <n v="209.22"/>
    <d v="2023-03-19T00:00:00"/>
    <d v="2023-03-28T00:00:00"/>
    <x v="0"/>
    <s v="Returned"/>
    <s v="Amelia Sharma"/>
    <s v="Blank"/>
    <x v="0"/>
    <m/>
    <n v="1255.32"/>
    <n v="9"/>
    <s v="Slow"/>
    <x v="10"/>
    <x v="1"/>
    <s v="March 2023"/>
    <x v="1"/>
  </r>
  <r>
    <s v="CUST071"/>
    <s v="PRD036"/>
    <s v="Self Help Guide"/>
    <x v="4"/>
    <n v="100.44"/>
    <d v="2024-05-24T00:00:00"/>
    <d v="2024-06-03T00:00:00"/>
    <x v="3"/>
    <s v="Delivered"/>
    <s v="George Hussain"/>
    <s v="Blank"/>
    <x v="0"/>
    <m/>
    <n v="502.2"/>
    <n v="10"/>
    <s v="Slow"/>
    <x v="9"/>
    <x v="0"/>
    <s v="May 2024"/>
    <x v="3"/>
  </r>
  <r>
    <s v="CUST072"/>
    <s v="PRD011"/>
    <s v="Whiteboard A1"/>
    <x v="4"/>
    <n v="84.81"/>
    <d v="2023-03-14T00:00:00"/>
    <d v="2023-03-18T00:00:00"/>
    <x v="6"/>
    <s v="Returned"/>
    <s v="Priya Davies"/>
    <s v="Blank"/>
    <x v="0"/>
    <m/>
    <n v="424.05"/>
    <n v="4"/>
    <s v="Standard"/>
    <x v="10"/>
    <x v="1"/>
    <s v="March 2023"/>
    <x v="4"/>
  </r>
  <r>
    <s v="CUST073"/>
    <s v="PRD019"/>
    <s v="Yoga Mat"/>
    <x v="5"/>
    <n v="240.17"/>
    <d v="2024-02-01T00:00:00"/>
    <d v="2024-02-02T00:00:00"/>
    <x v="3"/>
    <s v="Delivered"/>
    <s v="Liam Malik"/>
    <s v="Blank"/>
    <x v="0"/>
    <m/>
    <n v="720.51"/>
    <n v="1"/>
    <s v="Speedy"/>
    <x v="1"/>
    <x v="0"/>
    <s v="February 2024"/>
    <x v="1"/>
  </r>
  <r>
    <s v="CUST074"/>
    <s v="PRD023"/>
    <s v="First Aid Kit"/>
    <x v="0"/>
    <n v="193.76"/>
    <d v="2024-05-28T00:00:00"/>
    <d v="2024-06-10T00:00:00"/>
    <x v="6"/>
    <s v="Delivered"/>
    <s v="Ravi Baker"/>
    <s v="Gift wrap"/>
    <x v="0"/>
    <m/>
    <n v="775.04"/>
    <n v="13"/>
    <s v="Slow"/>
    <x v="9"/>
    <x v="0"/>
    <s v="May 2024"/>
    <x v="2"/>
  </r>
  <r>
    <s v="CUST075"/>
    <s v="PRD009"/>
    <s v="Desk Lamp"/>
    <x v="6"/>
    <n v="71.290000000000006"/>
    <d v="2024-06-12T00:00:00"/>
    <d v="2024-06-16T00:00:00"/>
    <x v="7"/>
    <s v="Returned"/>
    <s v="James Adams"/>
    <s v="Blank"/>
    <x v="0"/>
    <m/>
    <n v="641.61"/>
    <n v="4"/>
    <s v="Standard"/>
    <x v="2"/>
    <x v="0"/>
    <s v="June 2024"/>
    <x v="7"/>
  </r>
  <r>
    <s v="CUST076"/>
    <s v="PRD019"/>
    <s v="Yoga Mat"/>
    <x v="9"/>
    <n v="13.73"/>
    <d v="2024-04-28T00:00:00"/>
    <d v="2024-05-01T00:00:00"/>
    <x v="7"/>
    <s v="Delivered"/>
    <s v="Lucas Hall"/>
    <s v="Blank"/>
    <x v="0"/>
    <m/>
    <n v="109.84"/>
    <n v="3"/>
    <s v="Speedy"/>
    <x v="8"/>
    <x v="0"/>
    <s v="April 2024"/>
    <x v="1"/>
  </r>
  <r>
    <s v="CUST077"/>
    <s v="PRD023"/>
    <s v="First Aid Kit"/>
    <x v="8"/>
    <n v="258.57"/>
    <d v="2023-06-27T00:00:00"/>
    <d v="2023-06-30T00:00:00"/>
    <x v="6"/>
    <s v="Returned"/>
    <s v="George Brown"/>
    <s v="Fragile"/>
    <x v="0"/>
    <m/>
    <n v="1551.42"/>
    <n v="3"/>
    <s v="Speedy"/>
    <x v="2"/>
    <x v="1"/>
    <s v="June 2023"/>
    <x v="2"/>
  </r>
  <r>
    <s v="CUST078"/>
    <s v="PRD030"/>
    <s v="Mug Set X4"/>
    <x v="4"/>
    <n v="8.2200000000000006"/>
    <d v="2023-01-15T00:00:00"/>
    <d v="2023-01-28T00:00:00"/>
    <x v="3"/>
    <s v="Pending"/>
    <s v="Ben Ali"/>
    <s v="Blank"/>
    <x v="0"/>
    <m/>
    <n v="41.1"/>
    <n v="13"/>
    <s v="Slow"/>
    <x v="0"/>
    <x v="1"/>
    <s v="January 2023"/>
    <x v="6"/>
  </r>
  <r>
    <s v="CUST079"/>
    <s v="PRD014"/>
    <s v="Sticky Notes"/>
    <x v="3"/>
    <n v="192.27"/>
    <d v="2024-04-01T00:00:00"/>
    <d v="2024-04-05T00:00:00"/>
    <x v="5"/>
    <s v="Processing"/>
    <s v="Emma Smith"/>
    <s v="Blank"/>
    <x v="0"/>
    <m/>
    <n v="1922.7"/>
    <n v="4"/>
    <s v="Standard"/>
    <x v="8"/>
    <x v="0"/>
    <s v="April 2024"/>
    <x v="4"/>
  </r>
  <r>
    <s v="CUST080"/>
    <s v="PRD016"/>
    <s v="Stapler"/>
    <x v="9"/>
    <n v="158.37"/>
    <d v="2023-12-04T00:00:00"/>
    <d v="2023-12-06T00:00:00"/>
    <x v="4"/>
    <s v="Delivered"/>
    <s v="Tara Scott"/>
    <s v="Gift wrap"/>
    <x v="0"/>
    <m/>
    <n v="1266.96"/>
    <n v="2"/>
    <s v="Speedy"/>
    <x v="11"/>
    <x v="1"/>
    <s v="December 2023"/>
    <x v="4"/>
  </r>
  <r>
    <s v="CUST081"/>
    <s v="PRD006"/>
    <s v="Webcam Hd"/>
    <x v="1"/>
    <n v="228.47"/>
    <d v="2023-06-20T00:00:00"/>
    <d v="2023-07-04T00:00:00"/>
    <x v="6"/>
    <s v="Delivered"/>
    <s v="Amy Ward"/>
    <s v="Gift wrap"/>
    <x v="0"/>
    <m/>
    <n v="228.47"/>
    <n v="14"/>
    <s v="Slow"/>
    <x v="2"/>
    <x v="1"/>
    <s v="June 2023"/>
    <x v="5"/>
  </r>
  <r>
    <s v="CUST082"/>
    <s v="PRD040"/>
    <s v="Trainers Size 9"/>
    <x v="8"/>
    <n v="67.8"/>
    <d v="2023-02-14T00:00:00"/>
    <d v="2023-02-26T00:00:00"/>
    <x v="0"/>
    <s v="Returned"/>
    <s v="Max Ward"/>
    <s v="Blank"/>
    <x v="0"/>
    <m/>
    <n v="406.79999999999995"/>
    <n v="12"/>
    <s v="Slow"/>
    <x v="1"/>
    <x v="1"/>
    <s v="February 2023"/>
    <x v="0"/>
  </r>
  <r>
    <s v="CUST083"/>
    <s v="PRD021"/>
    <s v="Protein Powder 1Kg"/>
    <x v="8"/>
    <n v="293.27"/>
    <d v="2023-04-02T00:00:00"/>
    <d v="2023-04-13T00:00:00"/>
    <x v="7"/>
    <s v="Pending"/>
    <s v="Fatima Bailey"/>
    <s v="Leave at door"/>
    <x v="0"/>
    <m/>
    <n v="1759.62"/>
    <n v="11"/>
    <s v="Slow"/>
    <x v="8"/>
    <x v="1"/>
    <s v="April 2023"/>
    <x v="2"/>
  </r>
  <r>
    <s v="CUST084"/>
    <s v="PRD029"/>
    <s v="French Press"/>
    <x v="3"/>
    <n v="140.79"/>
    <d v="2024-05-10T00:00:00"/>
    <d v="2024-05-21T00:00:00"/>
    <x v="0"/>
    <s v="Cancelled"/>
    <s v="Maya Smith"/>
    <s v="Fragile"/>
    <x v="0"/>
    <m/>
    <n v="1407.8999999999999"/>
    <n v="11"/>
    <s v="Slow"/>
    <x v="9"/>
    <x v="0"/>
    <s v="May 2024"/>
    <x v="6"/>
  </r>
  <r>
    <s v="CUST085"/>
    <s v="PRD004"/>
    <s v="Mechanical Keyboard"/>
    <x v="0"/>
    <n v="280.99"/>
    <d v="2024-02-25T00:00:00"/>
    <d v="2024-02-26T00:00:00"/>
    <x v="0"/>
    <s v="Pending"/>
    <s v="Finn Murphy"/>
    <s v="Blank"/>
    <x v="0"/>
    <m/>
    <n v="1123.96"/>
    <n v="1"/>
    <s v="Speedy"/>
    <x v="1"/>
    <x v="0"/>
    <s v="February 2024"/>
    <x v="5"/>
  </r>
  <r>
    <s v="CUST086"/>
    <s v="PRD007"/>
    <s v="Office Chair"/>
    <x v="3"/>
    <n v="172.98"/>
    <d v="2023-12-21T00:00:00"/>
    <d v="2023-12-23T00:00:00"/>
    <x v="4"/>
    <s v="Delivered"/>
    <s v="Freya Jones"/>
    <s v="Fragile"/>
    <x v="0"/>
    <m/>
    <n v="1729.8"/>
    <n v="2"/>
    <s v="Speedy"/>
    <x v="11"/>
    <x v="1"/>
    <s v="December 2023"/>
    <x v="7"/>
  </r>
  <r>
    <s v="CUST087"/>
    <s v="PRD012"/>
    <s v="Notebook Pack"/>
    <x v="6"/>
    <n v="253.94"/>
    <d v="2023-11-11T00:00:00"/>
    <d v="2023-11-12T00:00:00"/>
    <x v="5"/>
    <s v="Pending"/>
    <s v="Lily Williams"/>
    <s v="Blank"/>
    <x v="0"/>
    <m/>
    <n v="2285.46"/>
    <n v="1"/>
    <s v="Speedy"/>
    <x v="5"/>
    <x v="1"/>
    <s v="November 2023"/>
    <x v="4"/>
  </r>
  <r>
    <s v="CUST088"/>
    <s v="PRD033"/>
    <s v="Data Science Handbook"/>
    <x v="6"/>
    <n v="80.88"/>
    <d v="2024-02-26T00:00:00"/>
    <d v="2024-03-06T00:00:00"/>
    <x v="3"/>
    <s v="Processing"/>
    <s v="Hannah Murphy"/>
    <s v="Leave at door"/>
    <x v="0"/>
    <m/>
    <n v="727.92"/>
    <n v="9"/>
    <s v="Slow"/>
    <x v="1"/>
    <x v="0"/>
    <s v="February 2024"/>
    <x v="3"/>
  </r>
  <r>
    <s v="CUST089"/>
    <s v="PRD029"/>
    <s v="French Press"/>
    <x v="4"/>
    <n v="34.86"/>
    <d v="2024-02-25T00:00:00"/>
    <d v="2024-03-03T00:00:00"/>
    <x v="2"/>
    <s v="Delivered"/>
    <s v="Leo Thomas"/>
    <s v="Blank"/>
    <x v="0"/>
    <m/>
    <n v="174.3"/>
    <n v="7"/>
    <s v="Slow"/>
    <x v="1"/>
    <x v="0"/>
    <s v="February 2024"/>
    <x v="6"/>
  </r>
  <r>
    <s v="CUST090"/>
    <s v="PRD002"/>
    <s v="Wireless Mouse"/>
    <x v="0"/>
    <n v="42.12"/>
    <d v="2023-11-04T00:00:00"/>
    <d v="2023-11-09T00:00:00"/>
    <x v="7"/>
    <s v="Delivered"/>
    <s v="Charlotte Williams"/>
    <s v="Fragile"/>
    <x v="0"/>
    <m/>
    <n v="168.48"/>
    <n v="5"/>
    <s v="Standard"/>
    <x v="5"/>
    <x v="1"/>
    <s v="November 2023"/>
    <x v="5"/>
  </r>
  <r>
    <s v="CUST091"/>
    <s v="PRD031"/>
    <s v="Novel - The Shift"/>
    <x v="1"/>
    <n v="94.77"/>
    <d v="2024-04-18T00:00:00"/>
    <d v="2024-05-02T00:00:00"/>
    <x v="6"/>
    <s v="Returned"/>
    <s v="Priya Patel"/>
    <s v="Blank"/>
    <x v="0"/>
    <m/>
    <n v="94.77"/>
    <n v="14"/>
    <s v="Slow"/>
    <x v="8"/>
    <x v="0"/>
    <s v="April 2024"/>
    <x v="3"/>
  </r>
  <r>
    <s v="CUST092"/>
    <s v="PRD020"/>
    <s v="Water Bottle"/>
    <x v="2"/>
    <n v="156.29"/>
    <d v="2024-01-14T00:00:00"/>
    <d v="2024-01-25T00:00:00"/>
    <x v="5"/>
    <s v="Delivered"/>
    <s v="Ravi Wilson"/>
    <s v="Blank"/>
    <x v="0"/>
    <m/>
    <n v="312.58"/>
    <n v="11"/>
    <s v="Slow"/>
    <x v="0"/>
    <x v="0"/>
    <s v="January 2024"/>
    <x v="1"/>
  </r>
  <r>
    <s v="CUST093"/>
    <s v="PRD003"/>
    <s v="Usb-C Hub"/>
    <x v="1"/>
    <n v="126.77"/>
    <d v="2023-10-30T00:00:00"/>
    <d v="2023-11-12T00:00:00"/>
    <x v="7"/>
    <s v="Pending"/>
    <s v="Ryan Foster"/>
    <s v="Blank"/>
    <x v="0"/>
    <m/>
    <n v="126.77"/>
    <n v="13"/>
    <s v="Slow"/>
    <x v="6"/>
    <x v="1"/>
    <s v="October 2023"/>
    <x v="5"/>
  </r>
  <r>
    <s v="CUST094"/>
    <s v="PRD038"/>
    <s v="Jeans 32X32"/>
    <x v="3"/>
    <n v="112.49"/>
    <d v="2023-11-28T00:00:00"/>
    <d v="2023-12-10T00:00:00"/>
    <x v="1"/>
    <s v="Pending"/>
    <s v="Fatima Baker"/>
    <s v="Express delivery"/>
    <x v="0"/>
    <m/>
    <n v="1124.8999999999999"/>
    <n v="12"/>
    <s v="Slow"/>
    <x v="5"/>
    <x v="1"/>
    <s v="November 2023"/>
    <x v="0"/>
  </r>
  <r>
    <s v="CUST095"/>
    <s v="PRD016"/>
    <s v="Stapler"/>
    <x v="4"/>
    <n v="279.04000000000002"/>
    <d v="2023-09-02T00:00:00"/>
    <d v="2023-09-06T00:00:00"/>
    <x v="2"/>
    <s v="Returned"/>
    <s v="Ruby Taylor"/>
    <s v="Express delivery"/>
    <x v="0"/>
    <m/>
    <n v="1395.2"/>
    <n v="4"/>
    <s v="Standard"/>
    <x v="3"/>
    <x v="1"/>
    <s v="September 2023"/>
    <x v="4"/>
  </r>
  <r>
    <s v="CUST096"/>
    <s v="PRD024"/>
    <s v="Resistance Bands"/>
    <x v="5"/>
    <n v="270.54000000000002"/>
    <d v="2023-07-07T00:00:00"/>
    <d v="2023-07-10T00:00:00"/>
    <x v="7"/>
    <s v="Delivered"/>
    <s v="Grace Patel"/>
    <s v="Blank"/>
    <x v="0"/>
    <m/>
    <n v="811.62000000000012"/>
    <n v="3"/>
    <s v="Speedy"/>
    <x v="7"/>
    <x v="1"/>
    <s v="July 2023"/>
    <x v="2"/>
  </r>
  <r>
    <s v="CUST097"/>
    <s v="PRD027"/>
    <s v="Blender Pro"/>
    <x v="2"/>
    <n v="31.65"/>
    <d v="2023-10-31T00:00:00"/>
    <d v="2023-11-03T00:00:00"/>
    <x v="6"/>
    <s v="Returned"/>
    <s v="Tom Hussain"/>
    <s v="Gift wrap"/>
    <x v="0"/>
    <m/>
    <n v="63.3"/>
    <n v="3"/>
    <s v="Speedy"/>
    <x v="6"/>
    <x v="1"/>
    <s v="October 2023"/>
    <x v="6"/>
  </r>
  <r>
    <s v="CUST098"/>
    <s v="PRD004"/>
    <s v="Mechanical Keyboard"/>
    <x v="7"/>
    <n v="56.36"/>
    <d v="2024-06-08T00:00:00"/>
    <d v="2024-06-14T00:00:00"/>
    <x v="5"/>
    <s v="Cancelled"/>
    <s v="George King"/>
    <s v="Blank"/>
    <x v="0"/>
    <m/>
    <n v="394.52"/>
    <n v="6"/>
    <s v="Standard"/>
    <x v="2"/>
    <x v="0"/>
    <s v="June 2024"/>
    <x v="5"/>
  </r>
  <r>
    <s v="CUST099"/>
    <s v="PRD013"/>
    <s v="Ballpoint Pens X10"/>
    <x v="6"/>
    <n v="224.76"/>
    <d v="2023-05-16T00:00:00"/>
    <d v="2023-05-27T00:00:00"/>
    <x v="5"/>
    <s v="Pending"/>
    <s v="Amy Cooper"/>
    <s v="Express delivery"/>
    <x v="0"/>
    <m/>
    <n v="2022.84"/>
    <n v="11"/>
    <s v="Slow"/>
    <x v="9"/>
    <x v="1"/>
    <s v="May 2023"/>
    <x v="4"/>
  </r>
  <r>
    <s v="CUST100"/>
    <s v="PRD018"/>
    <s v="Gym Bag"/>
    <x v="3"/>
    <n v="291.62"/>
    <d v="2024-03-27T00:00:00"/>
    <d v="2024-04-05T00:00:00"/>
    <x v="5"/>
    <s v="Pending"/>
    <s v="Owen Shah"/>
    <s v="Blank"/>
    <x v="0"/>
    <m/>
    <n v="2916.2"/>
    <n v="9"/>
    <s v="Slow"/>
    <x v="10"/>
    <x v="0"/>
    <s v="March 2024"/>
    <x v="1"/>
  </r>
  <r>
    <s v="CUST101"/>
    <s v="PRD023"/>
    <s v="First Aid Kit"/>
    <x v="1"/>
    <n v="105.06"/>
    <d v="2024-06-13T00:00:00"/>
    <d v="2024-06-17T00:00:00"/>
    <x v="4"/>
    <s v="Processing"/>
    <s v="Blank"/>
    <s v="Fragile"/>
    <x v="0"/>
    <m/>
    <n v="105.06"/>
    <n v="4"/>
    <s v="Standard"/>
    <x v="2"/>
    <x v="0"/>
    <s v="June 2024"/>
    <x v="2"/>
  </r>
  <r>
    <s v="CUST102"/>
    <s v="PRD017"/>
    <s v="Running Shoes"/>
    <x v="9"/>
    <n v="37.85"/>
    <d v="2023-11-03T00:00:00"/>
    <d v="2023-11-10T00:00:00"/>
    <x v="4"/>
    <s v="Delivered"/>
    <s v="Ali Hussain"/>
    <s v="Blank"/>
    <x v="0"/>
    <m/>
    <n v="302.8"/>
    <n v="7"/>
    <s v="Slow"/>
    <x v="5"/>
    <x v="1"/>
    <s v="November 2023"/>
    <x v="1"/>
  </r>
  <r>
    <s v="CUST103"/>
    <s v="PRD006"/>
    <s v="Webcam Hd"/>
    <x v="9"/>
    <n v="119.12"/>
    <d v="2024-01-24T00:00:00"/>
    <d v="2024-02-03T00:00:00"/>
    <x v="3"/>
    <s v="Pending"/>
    <s v="Nadia Bell"/>
    <s v="Blank"/>
    <x v="0"/>
    <m/>
    <n v="952.96"/>
    <n v="10"/>
    <s v="Slow"/>
    <x v="0"/>
    <x v="0"/>
    <s v="January 2024"/>
    <x v="5"/>
  </r>
  <r>
    <s v="CUST104"/>
    <s v="PRD028"/>
    <s v="Air Fryer"/>
    <x v="5"/>
    <n v="266.77"/>
    <d v="2024-04-13T00:00:00"/>
    <d v="2024-04-27T00:00:00"/>
    <x v="4"/>
    <s v="Cancelled"/>
    <s v="Olivia Williams"/>
    <s v="Fragile"/>
    <x v="0"/>
    <m/>
    <n v="800.31"/>
    <n v="14"/>
    <s v="Slow"/>
    <x v="8"/>
    <x v="0"/>
    <s v="April 2024"/>
    <x v="6"/>
  </r>
  <r>
    <s v="CUST105"/>
    <s v="PRD040"/>
    <s v="Trainers Size 9"/>
    <x v="5"/>
    <n v="23.09"/>
    <d v="2024-04-26T00:00:00"/>
    <d v="2024-04-30T00:00:00"/>
    <x v="0"/>
    <s v="Pending"/>
    <s v="Liam Morris"/>
    <s v="Blank"/>
    <x v="0"/>
    <m/>
    <n v="69.27"/>
    <n v="4"/>
    <s v="Standard"/>
    <x v="8"/>
    <x v="0"/>
    <s v="April 2024"/>
    <x v="0"/>
  </r>
  <r>
    <s v="CUST106"/>
    <s v="PRD025"/>
    <s v="Coffee Maker"/>
    <x v="7"/>
    <n v="10.46"/>
    <d v="2023-02-13T00:00:00"/>
    <d v="2023-02-21T00:00:00"/>
    <x v="3"/>
    <s v="Cancelled"/>
    <s v="James Thomas"/>
    <s v="Leave at door"/>
    <x v="0"/>
    <m/>
    <n v="73.22"/>
    <n v="8"/>
    <s v="Slow"/>
    <x v="1"/>
    <x v="1"/>
    <s v="February 2023"/>
    <x v="6"/>
  </r>
  <r>
    <s v="CUST107"/>
    <s v="PRD013"/>
    <s v="Ballpoint Pens X10"/>
    <x v="1"/>
    <n v="156.01"/>
    <d v="2023-08-30T00:00:00"/>
    <d v="2023-09-07T00:00:00"/>
    <x v="3"/>
    <s v="Pending"/>
    <s v="Emma Williams"/>
    <s v="Blank"/>
    <x v="0"/>
    <m/>
    <n v="156.01"/>
    <n v="8"/>
    <s v="Slow"/>
    <x v="4"/>
    <x v="1"/>
    <s v="August 2023"/>
    <x v="4"/>
  </r>
  <r>
    <s v="CUST108"/>
    <s v="PRD011"/>
    <s v="Whiteboard A1"/>
    <x v="6"/>
    <n v="236.1"/>
    <d v="2023-07-30T00:00:00"/>
    <d v="2023-08-11T00:00:00"/>
    <x v="2"/>
    <s v="Pending"/>
    <s v="Hannah Johnson"/>
    <s v="Gift wrap"/>
    <x v="0"/>
    <m/>
    <n v="2124.9"/>
    <n v="12"/>
    <s v="Slow"/>
    <x v="7"/>
    <x v="1"/>
    <s v="July 2023"/>
    <x v="4"/>
  </r>
  <r>
    <s v="CUST109"/>
    <s v="PRD036"/>
    <s v="Self Help Guide"/>
    <x v="4"/>
    <n v="250.69"/>
    <d v="2023-12-03T00:00:00"/>
    <d v="2023-12-15T00:00:00"/>
    <x v="3"/>
    <s v="Cancelled"/>
    <s v="Lily Roberts"/>
    <s v="Blank"/>
    <x v="0"/>
    <m/>
    <n v="1253.45"/>
    <n v="12"/>
    <s v="Slow"/>
    <x v="11"/>
    <x v="1"/>
    <s v="December 2023"/>
    <x v="3"/>
  </r>
  <r>
    <s v="CUST110"/>
    <s v="PRD007"/>
    <s v="Office Chair"/>
    <x v="1"/>
    <n v="112.2"/>
    <d v="2023-08-31T00:00:00"/>
    <d v="2023-09-02T00:00:00"/>
    <x v="3"/>
    <m/>
    <s v="Daniel Wilson"/>
    <s v="Gift wrap"/>
    <x v="0"/>
    <m/>
    <n v="112.2"/>
    <n v="2"/>
    <s v="Speedy"/>
    <x v="4"/>
    <x v="1"/>
    <s v="August 2023"/>
    <x v="7"/>
  </r>
  <r>
    <s v="CUST111"/>
    <s v="PRD027"/>
    <s v="Blender Pro"/>
    <x v="3"/>
    <n v="252.38"/>
    <d v="2024-04-24T00:00:00"/>
    <d v="2024-05-08T00:00:00"/>
    <x v="6"/>
    <s v="Delivered"/>
    <s v="Finn Rao"/>
    <s v="Express delivery"/>
    <x v="0"/>
    <m/>
    <n v="2523.8000000000002"/>
    <n v="14"/>
    <s v="Slow"/>
    <x v="8"/>
    <x v="0"/>
    <s v="April 2024"/>
    <x v="6"/>
  </r>
  <r>
    <s v="CUST112"/>
    <s v="PRD040"/>
    <s v="Trainers Size 9"/>
    <x v="5"/>
    <n v="65.150000000000006"/>
    <d v="2023-11-02T00:00:00"/>
    <d v="2023-11-04T00:00:00"/>
    <x v="5"/>
    <s v="Pending"/>
    <s v="Jack Ali"/>
    <s v="Blank"/>
    <x v="0"/>
    <m/>
    <n v="195.45000000000002"/>
    <n v="2"/>
    <s v="Speedy"/>
    <x v="5"/>
    <x v="1"/>
    <s v="November 2023"/>
    <x v="0"/>
  </r>
  <r>
    <s v="CUST113"/>
    <s v="PRD022"/>
    <s v="Vitamin D 90Tabs"/>
    <x v="3"/>
    <n v="247.79"/>
    <d v="2023-04-10T00:00:00"/>
    <d v="2023-04-18T00:00:00"/>
    <x v="0"/>
    <s v="Delivered"/>
    <s v="Sophie Gupta"/>
    <s v="Blank"/>
    <x v="0"/>
    <m/>
    <n v="2477.9"/>
    <n v="8"/>
    <s v="Slow"/>
    <x v="8"/>
    <x v="1"/>
    <s v="April 2023"/>
    <x v="2"/>
  </r>
  <r>
    <s v="CUST114"/>
    <s v="PRD035"/>
    <s v="Cook Book 2024"/>
    <x v="4"/>
    <n v="109.17"/>
    <d v="2023-07-26T00:00:00"/>
    <d v="2023-08-06T00:00:00"/>
    <x v="7"/>
    <s v="Pending"/>
    <s v="Liam Taylor"/>
    <s v="Blank"/>
    <x v="0"/>
    <m/>
    <n v="545.85"/>
    <n v="11"/>
    <s v="Slow"/>
    <x v="7"/>
    <x v="1"/>
    <s v="July 2023"/>
    <x v="3"/>
  </r>
  <r>
    <s v="CUST115"/>
    <s v="PRD023"/>
    <s v="First Aid Kit"/>
    <x v="5"/>
    <n v="90.9"/>
    <d v="2024-01-11T00:00:00"/>
    <d v="2024-01-16T00:00:00"/>
    <x v="1"/>
    <s v="Returned"/>
    <s v="Freya Baker"/>
    <s v="Express delivery"/>
    <x v="0"/>
    <m/>
    <n v="272.70000000000005"/>
    <n v="5"/>
    <s v="Standard"/>
    <x v="0"/>
    <x v="0"/>
    <s v="January 2024"/>
    <x v="2"/>
  </r>
  <r>
    <s v="CUST116"/>
    <s v="PRD024"/>
    <s v="Resistance Bands"/>
    <x v="2"/>
    <n v="50.3"/>
    <d v="2023-05-26T00:00:00"/>
    <d v="2023-06-04T00:00:00"/>
    <x v="0"/>
    <s v="Delivered"/>
    <s v="Sarah Bell"/>
    <s v="Blank"/>
    <x v="0"/>
    <m/>
    <n v="100.6"/>
    <n v="9"/>
    <s v="Slow"/>
    <x v="9"/>
    <x v="1"/>
    <s v="May 2023"/>
    <x v="2"/>
  </r>
  <r>
    <s v="CUST117"/>
    <s v="PRD012"/>
    <s v="Notebook Pack"/>
    <x v="8"/>
    <n v="171.33"/>
    <d v="2023-02-19T00:00:00"/>
    <d v="2023-02-26T00:00:00"/>
    <x v="6"/>
    <s v="Pending"/>
    <s v="Owen Davies"/>
    <s v="Leave at door"/>
    <x v="0"/>
    <m/>
    <n v="1027.98"/>
    <n v="7"/>
    <s v="Slow"/>
    <x v="1"/>
    <x v="1"/>
    <s v="February 2023"/>
    <x v="4"/>
  </r>
  <r>
    <s v="CUST118"/>
    <s v="PRD032"/>
    <s v="Python For Beginners"/>
    <x v="6"/>
    <n v="44.31"/>
    <d v="2024-03-04T00:00:00"/>
    <d v="2024-03-12T00:00:00"/>
    <x v="3"/>
    <s v="Cancelled"/>
    <s v="Ali Roberts"/>
    <s v="Blank"/>
    <x v="0"/>
    <m/>
    <n v="398.79"/>
    <n v="8"/>
    <s v="Slow"/>
    <x v="10"/>
    <x v="0"/>
    <s v="March 2024"/>
    <x v="3"/>
  </r>
  <r>
    <s v="CUST119"/>
    <s v="PRD027"/>
    <s v="Blender Pro"/>
    <x v="0"/>
    <n v="133.65"/>
    <d v="2023-04-24T00:00:00"/>
    <d v="2023-05-08T00:00:00"/>
    <x v="1"/>
    <s v="Delivered"/>
    <s v="Liam Shah"/>
    <s v="Leave at door"/>
    <x v="0"/>
    <m/>
    <n v="534.6"/>
    <n v="14"/>
    <s v="Slow"/>
    <x v="8"/>
    <x v="1"/>
    <s v="April 2023"/>
    <x v="6"/>
  </r>
  <r>
    <s v="CUST120"/>
    <s v="PRD008"/>
    <s v="Standing Desk"/>
    <x v="5"/>
    <n v="150.47"/>
    <d v="2023-01-13T00:00:00"/>
    <d v="2023-01-20T00:00:00"/>
    <x v="0"/>
    <s v="Returned"/>
    <s v="Priya Evans"/>
    <s v="Blank"/>
    <x v="0"/>
    <m/>
    <n v="451.40999999999997"/>
    <n v="7"/>
    <s v="Slow"/>
    <x v="0"/>
    <x v="1"/>
    <s v="January 2023"/>
    <x v="7"/>
  </r>
  <r>
    <s v="CUST121"/>
    <s v="PRD032"/>
    <s v="Python For Beginners"/>
    <x v="8"/>
    <n v="298.83999999999997"/>
    <d v="2023-01-21T00:00:00"/>
    <d v="2023-01-31T00:00:00"/>
    <x v="6"/>
    <s v="Pending"/>
    <s v="Lily Malik"/>
    <s v="Blank"/>
    <x v="0"/>
    <m/>
    <n v="1793.04"/>
    <n v="10"/>
    <s v="Slow"/>
    <x v="0"/>
    <x v="1"/>
    <s v="January 2023"/>
    <x v="3"/>
  </r>
  <r>
    <s v="CUST122"/>
    <s v="PRD016"/>
    <s v="Stapler"/>
    <x v="7"/>
    <n v="91.01"/>
    <d v="2024-03-24T00:00:00"/>
    <d v="2024-03-29T00:00:00"/>
    <x v="3"/>
    <s v="Processing"/>
    <s v="Finn Wilson"/>
    <s v="Fragile"/>
    <x v="0"/>
    <m/>
    <n v="637.07000000000005"/>
    <n v="5"/>
    <s v="Standard"/>
    <x v="10"/>
    <x v="0"/>
    <s v="March 2024"/>
    <x v="4"/>
  </r>
  <r>
    <s v="CUST123"/>
    <s v="PRD019"/>
    <s v="Yoga Mat"/>
    <x v="7"/>
    <n v="127.46"/>
    <d v="2023-06-28T00:00:00"/>
    <d v="2023-07-05T00:00:00"/>
    <x v="0"/>
    <s v="Cancelled"/>
    <s v="Ethan Singh"/>
    <s v="Fragile"/>
    <x v="0"/>
    <m/>
    <n v="892.21999999999991"/>
    <n v="7"/>
    <s v="Slow"/>
    <x v="2"/>
    <x v="1"/>
    <s v="June 2023"/>
    <x v="1"/>
  </r>
  <r>
    <s v="CUST124"/>
    <s v="PRD005"/>
    <s v="Monitor 27In"/>
    <x v="1"/>
    <n v="131.9"/>
    <d v="2023-03-24T00:00:00"/>
    <d v="2023-04-01T00:00:00"/>
    <x v="7"/>
    <s v="Cancelled"/>
    <s v="Fatima Bell"/>
    <s v="Gift wrap"/>
    <x v="0"/>
    <m/>
    <n v="131.9"/>
    <n v="8"/>
    <s v="Slow"/>
    <x v="10"/>
    <x v="1"/>
    <s v="March 2023"/>
    <x v="5"/>
  </r>
  <r>
    <s v="CUST125"/>
    <s v="PRD027"/>
    <s v="Blender Pro"/>
    <x v="7"/>
    <n v="190.64"/>
    <d v="2023-10-03T00:00:00"/>
    <d v="2023-10-08T00:00:00"/>
    <x v="6"/>
    <s v="Delivered"/>
    <s v="Mohammed Shah"/>
    <s v="Gift wrap"/>
    <x v="0"/>
    <m/>
    <n v="1334.48"/>
    <n v="5"/>
    <s v="Standard"/>
    <x v="6"/>
    <x v="1"/>
    <s v="October 2023"/>
    <x v="6"/>
  </r>
  <r>
    <s v="CUST126"/>
    <s v="PRD032"/>
    <s v="Python For Beginners"/>
    <x v="5"/>
    <n v="87.41"/>
    <d v="2023-06-03T00:00:00"/>
    <d v="2023-06-16T00:00:00"/>
    <x v="5"/>
    <s v="Processing"/>
    <s v="Amelia Green"/>
    <s v="Blank"/>
    <x v="0"/>
    <m/>
    <n v="262.23"/>
    <n v="13"/>
    <s v="Slow"/>
    <x v="2"/>
    <x v="1"/>
    <s v="June 2023"/>
    <x v="3"/>
  </r>
  <r>
    <s v="CUST127"/>
    <s v="PRD020"/>
    <s v="Water Bottle"/>
    <x v="3"/>
    <n v="179.41"/>
    <d v="2023-06-10T00:00:00"/>
    <d v="2023-06-11T00:00:00"/>
    <x v="5"/>
    <s v="Returned"/>
    <s v="Charlotte Shah"/>
    <s v="Blank"/>
    <x v="0"/>
    <m/>
    <n v="1794.1"/>
    <n v="1"/>
    <s v="Speedy"/>
    <x v="2"/>
    <x v="1"/>
    <s v="June 2023"/>
    <x v="1"/>
  </r>
  <r>
    <s v="CUST128"/>
    <s v="PRD034"/>
    <s v="Business Strategy"/>
    <x v="3"/>
    <n v="242.43"/>
    <d v="2024-06-07T00:00:00"/>
    <d v="2024-06-11T00:00:00"/>
    <x v="3"/>
    <s v="Pending"/>
    <s v="Blank"/>
    <s v="Blank"/>
    <x v="0"/>
    <m/>
    <n v="2424.3000000000002"/>
    <n v="4"/>
    <s v="Standard"/>
    <x v="2"/>
    <x v="0"/>
    <s v="June 2024"/>
    <x v="3"/>
  </r>
  <r>
    <s v="CUST129"/>
    <s v="PRD035"/>
    <s v="Cook Book 2024"/>
    <x v="1"/>
    <n v="22.19"/>
    <d v="2023-01-16T00:00:00"/>
    <d v="2023-01-20T00:00:00"/>
    <x v="2"/>
    <s v="Delivered"/>
    <s v="Mia Williams"/>
    <s v="Express delivery"/>
    <x v="0"/>
    <m/>
    <n v="22.19"/>
    <n v="4"/>
    <s v="Standard"/>
    <x v="0"/>
    <x v="1"/>
    <s v="January 2023"/>
    <x v="3"/>
  </r>
  <r>
    <s v="CUST130"/>
    <s v="PRD017"/>
    <s v="Running Shoes"/>
    <x v="7"/>
    <n v="223.67"/>
    <d v="2024-02-23T00:00:00"/>
    <d v="2024-03-05T00:00:00"/>
    <x v="4"/>
    <s v="Returned"/>
    <s v="Finn Roberts"/>
    <s v="Blank"/>
    <x v="0"/>
    <m/>
    <n v="1565.6899999999998"/>
    <n v="11"/>
    <s v="Slow"/>
    <x v="1"/>
    <x v="0"/>
    <s v="February 2024"/>
    <x v="1"/>
  </r>
  <r>
    <s v="CUST131"/>
    <s v="PRD012"/>
    <s v="Notebook Pack"/>
    <x v="0"/>
    <n v="41.71"/>
    <d v="2023-03-21T00:00:00"/>
    <d v="2023-04-04T00:00:00"/>
    <x v="1"/>
    <s v="Pending"/>
    <s v="Ella Sharma"/>
    <s v="Blank"/>
    <x v="0"/>
    <m/>
    <n v="166.84"/>
    <n v="14"/>
    <s v="Slow"/>
    <x v="10"/>
    <x v="1"/>
    <s v="March 2023"/>
    <x v="4"/>
  </r>
  <r>
    <s v="CUST132"/>
    <s v="PRD038"/>
    <s v="Jeans 32X32"/>
    <x v="2"/>
    <n v="80.95"/>
    <d v="2023-02-01T00:00:00"/>
    <d v="2023-02-14T00:00:00"/>
    <x v="4"/>
    <s v="Delivered"/>
    <s v="Freya Williams"/>
    <s v="Blank"/>
    <x v="0"/>
    <m/>
    <n v="161.9"/>
    <n v="13"/>
    <s v="Slow"/>
    <x v="1"/>
    <x v="1"/>
    <s v="February 2023"/>
    <x v="0"/>
  </r>
  <r>
    <s v="CUST133"/>
    <s v="PRD005"/>
    <s v="Monitor 27In"/>
    <x v="1"/>
    <n v="108.05"/>
    <d v="2023-11-21T00:00:00"/>
    <d v="2023-12-02T00:00:00"/>
    <x v="4"/>
    <s v="Cancelled"/>
    <s v="Jess Clarke"/>
    <s v="Blank"/>
    <x v="0"/>
    <m/>
    <n v="108.05"/>
    <n v="11"/>
    <s v="Slow"/>
    <x v="5"/>
    <x v="1"/>
    <s v="November 2023"/>
    <x v="5"/>
  </r>
  <r>
    <s v="CUST134"/>
    <s v="PRD024"/>
    <s v="Resistance Bands"/>
    <x v="6"/>
    <n v="30.51"/>
    <d v="2024-01-17T00:00:00"/>
    <d v="2024-01-30T00:00:00"/>
    <x v="0"/>
    <s v="Pending"/>
    <s v="Charlotte King"/>
    <s v="Leave at door"/>
    <x v="0"/>
    <m/>
    <n v="274.59000000000003"/>
    <n v="13"/>
    <s v="Slow"/>
    <x v="0"/>
    <x v="0"/>
    <s v="January 2024"/>
    <x v="2"/>
  </r>
  <r>
    <s v="CUST135"/>
    <s v="PRD036"/>
    <s v="Self Help Guide"/>
    <x v="0"/>
    <n v="29.42"/>
    <d v="2023-11-28T00:00:00"/>
    <d v="2023-12-12T00:00:00"/>
    <x v="3"/>
    <s v="Cancelled"/>
    <s v="Owen Williams"/>
    <s v="Gift wrap"/>
    <x v="0"/>
    <m/>
    <n v="117.68"/>
    <n v="14"/>
    <s v="Slow"/>
    <x v="5"/>
    <x v="1"/>
    <s v="November 2023"/>
    <x v="3"/>
  </r>
  <r>
    <s v="CUST136"/>
    <s v="PRD012"/>
    <s v="Notebook Pack"/>
    <x v="3"/>
    <n v="290.23"/>
    <d v="2023-08-15T00:00:00"/>
    <d v="2023-08-20T00:00:00"/>
    <x v="7"/>
    <s v="Cancelled"/>
    <s v="Hana Walker"/>
    <s v="Blank"/>
    <x v="0"/>
    <m/>
    <n v="2902.3"/>
    <n v="5"/>
    <s v="Standard"/>
    <x v="4"/>
    <x v="1"/>
    <s v="August 2023"/>
    <x v="4"/>
  </r>
  <r>
    <s v="CUST137"/>
    <s v="PRD025"/>
    <s v="Coffee Maker"/>
    <x v="1"/>
    <n v="109.56"/>
    <d v="2024-01-20T00:00:00"/>
    <d v="2024-01-29T00:00:00"/>
    <x v="1"/>
    <s v="Delivered"/>
    <s v="Grace Walker"/>
    <s v="Leave at door"/>
    <x v="0"/>
    <m/>
    <n v="109.56"/>
    <n v="9"/>
    <s v="Slow"/>
    <x v="0"/>
    <x v="0"/>
    <s v="January 2024"/>
    <x v="6"/>
  </r>
  <r>
    <s v="CUST138"/>
    <s v="PRD004"/>
    <s v="Mechanical Keyboard"/>
    <x v="0"/>
    <n v="40.53"/>
    <d v="2024-03-15T00:00:00"/>
    <d v="2024-03-28T00:00:00"/>
    <x v="1"/>
    <s v="Returned"/>
    <s v="Hannah Roberts"/>
    <s v="Express delivery"/>
    <x v="0"/>
    <m/>
    <n v="162.12"/>
    <n v="13"/>
    <s v="Slow"/>
    <x v="10"/>
    <x v="0"/>
    <s v="March 2024"/>
    <x v="5"/>
  </r>
  <r>
    <s v="CUST139"/>
    <s v="PRD024"/>
    <s v="Resistance Bands"/>
    <x v="5"/>
    <n v="204.45"/>
    <d v="2023-10-22T00:00:00"/>
    <d v="2023-11-01T00:00:00"/>
    <x v="5"/>
    <s v="Processing"/>
    <s v="Nina Adams"/>
    <s v="Fragile"/>
    <x v="0"/>
    <m/>
    <n v="613.34999999999991"/>
    <n v="10"/>
    <s v="Slow"/>
    <x v="6"/>
    <x v="1"/>
    <s v="October 2023"/>
    <x v="2"/>
  </r>
  <r>
    <s v="CUST140"/>
    <s v="PRD005"/>
    <s v="Monitor 27In"/>
    <x v="5"/>
    <n v="181.87"/>
    <d v="2023-05-09T00:00:00"/>
    <d v="2023-05-19T00:00:00"/>
    <x v="3"/>
    <s v="Cancelled"/>
    <s v="Ben Thomas"/>
    <s v="Blank"/>
    <x v="0"/>
    <m/>
    <n v="545.61"/>
    <n v="10"/>
    <s v="Slow"/>
    <x v="9"/>
    <x v="1"/>
    <s v="May 2023"/>
    <x v="5"/>
  </r>
  <r>
    <s v="CUST141"/>
    <s v="PRD038"/>
    <s v="Jeans 32X32"/>
    <x v="2"/>
    <n v="156.15"/>
    <d v="2023-03-04T00:00:00"/>
    <d v="2023-03-15T00:00:00"/>
    <x v="5"/>
    <s v="Processing"/>
    <s v="Callum Malik"/>
    <s v="Blank"/>
    <x v="0"/>
    <m/>
    <n v="312.3"/>
    <n v="11"/>
    <s v="Slow"/>
    <x v="10"/>
    <x v="1"/>
    <s v="March 2023"/>
    <x v="0"/>
  </r>
  <r>
    <s v="CUST142"/>
    <s v="PRD037"/>
    <s v="Hoodie L"/>
    <x v="0"/>
    <n v="92.62"/>
    <d v="2023-03-17T00:00:00"/>
    <d v="2023-03-30T00:00:00"/>
    <x v="0"/>
    <s v="Processing"/>
    <s v="Luke Singh"/>
    <s v="Leave at door"/>
    <x v="0"/>
    <m/>
    <n v="370.48"/>
    <n v="13"/>
    <s v="Slow"/>
    <x v="10"/>
    <x v="1"/>
    <s v="March 2023"/>
    <x v="0"/>
  </r>
  <r>
    <s v="CUST143"/>
    <s v="PRD038"/>
    <s v="Jeans 32X32"/>
    <x v="9"/>
    <n v="208.51"/>
    <d v="2023-10-03T00:00:00"/>
    <d v="2023-10-17T00:00:00"/>
    <x v="4"/>
    <s v="Returned"/>
    <s v="Mohammed Jones"/>
    <s v="Leave at door"/>
    <x v="0"/>
    <m/>
    <n v="1668.08"/>
    <n v="14"/>
    <s v="Slow"/>
    <x v="6"/>
    <x v="1"/>
    <s v="October 2023"/>
    <x v="0"/>
  </r>
  <r>
    <s v="CUST144"/>
    <s v="PRD029"/>
    <s v="French Press"/>
    <x v="7"/>
    <n v="127.18"/>
    <d v="2024-01-04T00:00:00"/>
    <d v="2024-01-08T00:00:00"/>
    <x v="2"/>
    <s v="Pending"/>
    <s v="Callum Singh"/>
    <s v="Blank"/>
    <x v="0"/>
    <m/>
    <n v="890.26"/>
    <n v="4"/>
    <s v="Standard"/>
    <x v="0"/>
    <x v="0"/>
    <s v="January 2024"/>
    <x v="6"/>
  </r>
  <r>
    <s v="CUST145"/>
    <s v="PRD032"/>
    <s v="Python For Beginners"/>
    <x v="0"/>
    <n v="144.99"/>
    <d v="2024-05-26T00:00:00"/>
    <d v="2024-05-30T00:00:00"/>
    <x v="4"/>
    <s v="Processing"/>
    <s v="Liam Bell"/>
    <s v="Blank"/>
    <x v="0"/>
    <m/>
    <n v="579.96"/>
    <n v="4"/>
    <s v="Standard"/>
    <x v="9"/>
    <x v="0"/>
    <s v="May 2024"/>
    <x v="3"/>
  </r>
  <r>
    <s v="CUST146"/>
    <s v="PRD015"/>
    <s v="Printer Paper A4"/>
    <x v="2"/>
    <n v="102.95"/>
    <d v="2023-01-02T00:00:00"/>
    <d v="2023-01-04T00:00:00"/>
    <x v="4"/>
    <s v="Pending"/>
    <s v="Jack Sharma"/>
    <s v="Blank"/>
    <x v="0"/>
    <m/>
    <n v="205.9"/>
    <n v="2"/>
    <s v="Speedy"/>
    <x v="0"/>
    <x v="1"/>
    <s v="January 2023"/>
    <x v="4"/>
  </r>
  <r>
    <s v="CUST147"/>
    <s v="PRD037"/>
    <s v="Hoodie L"/>
    <x v="8"/>
    <n v="251.07"/>
    <d v="2024-02-18T00:00:00"/>
    <d v="2024-03-02T00:00:00"/>
    <x v="1"/>
    <s v="Cancelled"/>
    <s v="Liam Williams"/>
    <s v="Blank"/>
    <x v="0"/>
    <m/>
    <n v="1506.42"/>
    <n v="13"/>
    <s v="Slow"/>
    <x v="1"/>
    <x v="0"/>
    <s v="February 2024"/>
    <x v="0"/>
  </r>
  <r>
    <s v="CUST148"/>
    <s v="PRD021"/>
    <s v="Protein Powder 1Kg"/>
    <x v="1"/>
    <n v="281.68"/>
    <d v="2023-04-26T00:00:00"/>
    <d v="2023-05-09T00:00:00"/>
    <x v="6"/>
    <s v="Delivered"/>
    <s v="Mia Foster"/>
    <s v="Blank"/>
    <x v="0"/>
    <m/>
    <n v="281.68"/>
    <n v="13"/>
    <s v="Slow"/>
    <x v="8"/>
    <x v="1"/>
    <s v="April 2023"/>
    <x v="2"/>
  </r>
  <r>
    <s v="CUST149"/>
    <s v="PRD003"/>
    <s v="Usb-C Hub"/>
    <x v="6"/>
    <n v="64.59"/>
    <d v="2023-05-25T00:00:00"/>
    <d v="2023-05-27T00:00:00"/>
    <x v="0"/>
    <s v="Cancelled"/>
    <s v="Harry King"/>
    <s v="Leave at door"/>
    <x v="0"/>
    <m/>
    <n v="581.31000000000006"/>
    <n v="2"/>
    <s v="Speedy"/>
    <x v="9"/>
    <x v="1"/>
    <s v="May 2023"/>
    <x v="5"/>
  </r>
  <r>
    <s v="CUST150"/>
    <s v="PRD005"/>
    <s v="Monitor 27In"/>
    <x v="7"/>
    <n v="64.150000000000006"/>
    <d v="2023-12-31T00:00:00"/>
    <d v="2024-01-02T00:00:00"/>
    <x v="6"/>
    <s v="Cancelled"/>
    <s v="Sarah Cox"/>
    <s v="Leave at door"/>
    <x v="0"/>
    <m/>
    <n v="449.05000000000007"/>
    <n v="2"/>
    <s v="Speedy"/>
    <x v="11"/>
    <x v="1"/>
    <s v="December 2023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RET001"/>
    <s v="PRD034"/>
    <d v="2023-12-13T00:00:00"/>
    <x v="0"/>
    <n v="79.03"/>
    <s v="Yes"/>
    <n v="19"/>
  </r>
  <r>
    <s v="RET002"/>
    <s v="PRD011"/>
    <d v="2023-04-02T00:00:00"/>
    <x v="0"/>
    <n v="49.47"/>
    <s v="Yes"/>
    <n v="11"/>
  </r>
  <r>
    <s v="RET003"/>
    <s v="PRD010"/>
    <d v="2024-03-30T00:00:00"/>
    <x v="1"/>
    <n v="103.68"/>
    <s v="Pending"/>
    <n v="19"/>
  </r>
  <r>
    <s v="RET004"/>
    <s v="PRD004"/>
    <d v="2023-11-16T00:00:00"/>
    <x v="2"/>
    <n v="66.55"/>
    <s v="No"/>
    <n v="6"/>
  </r>
  <r>
    <s v="RET005"/>
    <s v="PRD007"/>
    <d v="2024-01-18T00:00:00"/>
    <x v="3"/>
    <n v="225.68"/>
    <s v="Pending"/>
    <n v="10"/>
  </r>
  <r>
    <s v="RET006"/>
    <s v="PRD019"/>
    <d v="2023-07-04T00:00:00"/>
    <x v="4"/>
    <n v="29.39"/>
    <s v="No"/>
    <n v="15"/>
  </r>
  <r>
    <s v="RET007"/>
    <s v="PRD019"/>
    <d v="2023-08-19T00:00:00"/>
    <x v="5"/>
    <n v="34.340000000000003"/>
    <s v="Yes"/>
    <n v="15"/>
  </r>
  <r>
    <s v="RET008"/>
    <s v="PRD007"/>
    <d v="2023-03-30T00:00:00"/>
    <x v="6"/>
    <n v="9.8000000000000007"/>
    <s v="Yes"/>
    <n v="20"/>
  </r>
  <r>
    <s v="RET009"/>
    <s v="PRD022"/>
    <d v="2023-12-01T00:00:00"/>
    <x v="3"/>
    <n v="86.41"/>
    <s v="Yes"/>
    <n v="18"/>
  </r>
  <r>
    <s v="RET010"/>
    <s v="PRD039"/>
    <d v="2023-01-17T00:00:00"/>
    <x v="0"/>
    <n v="111.71"/>
    <s v="No"/>
    <n v="11"/>
  </r>
  <r>
    <s v="RET011"/>
    <s v="PRD004"/>
    <d v="2023-06-16T00:00:00"/>
    <x v="7"/>
    <n v="288.26"/>
    <s v="Yes"/>
    <n v="3"/>
  </r>
  <r>
    <s v="RET012"/>
    <s v="PRD035"/>
    <d v="2023-09-03T00:00:00"/>
    <x v="6"/>
    <n v="62.71"/>
    <s v="No"/>
    <n v="13"/>
  </r>
  <r>
    <s v="RET013"/>
    <s v="PRD012"/>
    <d v="2023-01-21T00:00:00"/>
    <x v="2"/>
    <n v="204.3"/>
    <s v="Yes"/>
    <n v="20"/>
  </r>
  <r>
    <s v="RET014"/>
    <s v="PRD020"/>
    <d v="2023-02-23T00:00:00"/>
    <x v="3"/>
    <n v="153.41999999999999"/>
    <s v="Pending"/>
    <n v="4"/>
  </r>
  <r>
    <s v="RET015"/>
    <s v="PRD037"/>
    <d v="2023-08-07T00:00:00"/>
    <x v="0"/>
    <n v="53.56"/>
    <s v="Yes"/>
    <n v="18"/>
  </r>
  <r>
    <s v="RET016"/>
    <s v="PRD034"/>
    <d v="2024-01-08T00:00:00"/>
    <x v="7"/>
    <n v="282.52"/>
    <s v="Pending"/>
    <n v="5"/>
  </r>
  <r>
    <s v="RET017"/>
    <s v="PRD024"/>
    <d v="2023-03-16T00:00:00"/>
    <x v="4"/>
    <n v="99.99"/>
    <s v="Pending"/>
    <n v="7"/>
  </r>
  <r>
    <s v="RET018"/>
    <s v="PRD034"/>
    <d v="2023-07-30T00:00:00"/>
    <x v="2"/>
    <n v="224.38"/>
    <s v="Pending"/>
    <n v="12"/>
  </r>
  <r>
    <s v="RET019"/>
    <s v="PRD001"/>
    <d v="2024-05-01T00:00:00"/>
    <x v="1"/>
    <n v="165.6"/>
    <s v="No"/>
    <n v="6"/>
  </r>
  <r>
    <s v="RET020"/>
    <s v="PRD035"/>
    <d v="2023-09-29T00:00:00"/>
    <x v="1"/>
    <n v="160.28"/>
    <s v="Yes"/>
    <n v="11"/>
  </r>
  <r>
    <s v="RET021"/>
    <s v="PRD012"/>
    <d v="2023-11-15T00:00:00"/>
    <x v="3"/>
    <n v="146.41"/>
    <s v="No"/>
    <n v="6"/>
  </r>
  <r>
    <s v="RET022"/>
    <s v="PRD014"/>
    <d v="2024-01-28T00:00:00"/>
    <x v="6"/>
    <n v="106.89"/>
    <s v="Yes"/>
    <n v="12"/>
  </r>
  <r>
    <s v="RET023"/>
    <s v="PRD004"/>
    <d v="2023-08-15T00:00:00"/>
    <x v="5"/>
    <n v="88.09"/>
    <s v="No"/>
    <n v="10"/>
  </r>
  <r>
    <s v="RET024"/>
    <s v="PRD026"/>
    <d v="2023-06-03T00:00:00"/>
    <x v="5"/>
    <n v="180.3"/>
    <s v="Yes"/>
    <n v="18"/>
  </r>
  <r>
    <s v="RET025"/>
    <s v="PRD008"/>
    <d v="2023-11-19T00:00:00"/>
    <x v="6"/>
    <n v="52.19"/>
    <s v="No"/>
    <n v="21"/>
  </r>
  <r>
    <s v="RET026"/>
    <s v="PRD037"/>
    <d v="2023-04-13T00:00:00"/>
    <x v="1"/>
    <n v="296.82"/>
    <s v="No"/>
    <n v="11"/>
  </r>
  <r>
    <s v="RET027"/>
    <s v="PRD027"/>
    <d v="2024-04-15T00:00:00"/>
    <x v="6"/>
    <n v="3.39"/>
    <s v="No"/>
    <n v="21"/>
  </r>
  <r>
    <s v="RET028"/>
    <s v="PRD029"/>
    <d v="2023-11-18T00:00:00"/>
    <x v="1"/>
    <n v="160.79"/>
    <s v="Yes"/>
    <n v="14"/>
  </r>
  <r>
    <s v="RET029"/>
    <s v="PRD022"/>
    <d v="2023-12-03T00:00:00"/>
    <x v="4"/>
    <n v="35735"/>
    <s v="No"/>
    <n v="14"/>
  </r>
  <r>
    <s v="RET030"/>
    <s v="PRD023"/>
    <d v="2024-03-05T00:00:00"/>
    <x v="8"/>
    <n v="83.23"/>
    <s v="No"/>
    <n v="12"/>
  </r>
  <r>
    <s v="RET031"/>
    <s v="PRD030"/>
    <d v="2023-06-15T00:00:00"/>
    <x v="0"/>
    <n v="36.630000000000003"/>
    <s v="Pending"/>
    <n v="11"/>
  </r>
  <r>
    <s v="RET032"/>
    <s v="PRD035"/>
    <d v="2023-07-30T00:00:00"/>
    <x v="5"/>
    <n v="193.21"/>
    <s v="Pending"/>
    <n v="21"/>
  </r>
  <r>
    <s v="RET033"/>
    <s v="PRD007"/>
    <d v="2024-06-22T00:00:00"/>
    <x v="6"/>
    <n v="155.47"/>
    <s v="Yes"/>
    <n v="4"/>
  </r>
  <r>
    <s v="RET034"/>
    <s v="PRD018"/>
    <d v="2023-07-04T00:00:00"/>
    <x v="8"/>
    <n v="77.11"/>
    <s v="Pending"/>
    <n v="18"/>
  </r>
  <r>
    <s v="RET035"/>
    <s v="PRD012"/>
    <d v="2023-10-11T00:00:00"/>
    <x v="1"/>
    <n v="26.68"/>
    <s v="Pending"/>
    <n v="16"/>
  </r>
  <r>
    <s v="RET036"/>
    <s v="PRD010"/>
    <d v="2023-07-17T00:00:00"/>
    <x v="8"/>
    <n v="16.940000000000001"/>
    <s v="Yes"/>
    <n v="1"/>
  </r>
  <r>
    <s v="RET037"/>
    <s v="PRD023"/>
    <d v="2024-06-04T00:00:00"/>
    <x v="5"/>
    <n v="93.71"/>
    <s v="Yes"/>
    <n v="5"/>
  </r>
  <r>
    <s v="RET038"/>
    <s v="PRD004"/>
    <d v="2023-11-28T00:00:00"/>
    <x v="2"/>
    <n v="24.61"/>
    <s v="Pending"/>
    <n v="9"/>
  </r>
  <r>
    <s v="RET039"/>
    <s v="PRD036"/>
    <d v="2024-01-05T00:00:00"/>
    <x v="8"/>
    <n v="103.31"/>
    <s v="No"/>
    <n v="9"/>
  </r>
  <r>
    <s v="RET040"/>
    <s v="PRD036"/>
    <d v="2024-03-19T00:00:00"/>
    <x v="4"/>
    <n v="114.13"/>
    <s v="Yes"/>
    <n v="19"/>
  </r>
  <r>
    <s v="RET041"/>
    <s v="PRD004"/>
    <d v="2023-06-10T00:00:00"/>
    <x v="5"/>
    <n v="214.56"/>
    <s v="Pending"/>
    <n v="6"/>
  </r>
  <r>
    <s v="RET042"/>
    <s v="PRD028"/>
    <d v="2023-12-20T00:00:00"/>
    <x v="4"/>
    <n v="257.54000000000002"/>
    <s v="No"/>
    <n v="11"/>
  </r>
  <r>
    <s v="RET043"/>
    <s v="PRD029"/>
    <d v="2023-09-15T00:00:00"/>
    <x v="5"/>
    <n v="217.64"/>
    <s v="Yes"/>
    <n v="9"/>
  </r>
  <r>
    <s v="RET044"/>
    <s v="PRD007"/>
    <d v="2023-03-19T00:00:00"/>
    <x v="2"/>
    <n v="281.01"/>
    <s v="Yes"/>
    <n v="16"/>
  </r>
  <r>
    <s v="RET045"/>
    <s v="PRD017"/>
    <d v="2023-10-27T00:00:00"/>
    <x v="1"/>
    <n v="286.76"/>
    <s v="Yes"/>
    <n v="13"/>
  </r>
  <r>
    <s v="RET046"/>
    <s v="PRD009"/>
    <d v="2024-03-19T00:00:00"/>
    <x v="1"/>
    <n v="298.49"/>
    <s v="Yes"/>
    <n v="5"/>
  </r>
  <r>
    <s v="RET047"/>
    <s v="PRD039"/>
    <d v="2023-05-05T00:00:00"/>
    <x v="1"/>
    <n v="92.28"/>
    <s v="Yes"/>
    <n v="14"/>
  </r>
  <r>
    <s v="RET048"/>
    <s v="PRD003"/>
    <d v="2023-10-06T00:00:00"/>
    <x v="2"/>
    <n v="52.18"/>
    <s v="Pending"/>
    <n v="17"/>
  </r>
  <r>
    <s v="RET049"/>
    <s v="PRD021"/>
    <d v="2024-03-21T00:00:00"/>
    <x v="2"/>
    <n v="192.8"/>
    <s v="Pending"/>
    <n v="3"/>
  </r>
  <r>
    <s v="RET050"/>
    <s v="PRD029"/>
    <d v="2024-01-11T00:00:00"/>
    <x v="7"/>
    <n v="19.2"/>
    <s v="Yes"/>
    <n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EMP001"/>
    <s v="Lucas Cox"/>
    <x v="0"/>
    <d v="2021-07-19T00:00:00"/>
    <n v="33925"/>
    <n v="1.2"/>
    <s v="lucas.cox@novamart.co.uk"/>
    <s v="Apprenticeship"/>
    <s v="Scotland"/>
    <m/>
    <m/>
    <x v="0"/>
    <s v="Director"/>
    <s v="J. Carter"/>
    <s v="Birmingham"/>
    <x v="0"/>
  </r>
  <r>
    <s v="EMP002"/>
    <s v="Ben Jones"/>
    <x v="1"/>
    <d v="2021-06-03T00:00:00"/>
    <n v="27508"/>
    <n v="2.8"/>
    <s v="ben.jones@novamart.co.uk"/>
    <s v="Permanent"/>
    <s v="Northern Ireland"/>
    <m/>
    <m/>
    <x v="1"/>
    <s v="Senior"/>
    <s v="T. Williams"/>
    <s v="Belfast"/>
    <x v="1"/>
  </r>
  <r>
    <s v="EMP003"/>
    <s v="Jack Wright"/>
    <x v="1"/>
    <d v="2019-11-24T00:00:00"/>
    <n v="57268"/>
    <n v="1"/>
    <s v="jack.wright@novamart.co.uk"/>
    <s v="Fixed-Term"/>
    <s v="Midlands"/>
    <m/>
    <m/>
    <x v="0"/>
    <s v="Senior"/>
    <s v="R. Okafor"/>
    <s v="Birmingham"/>
    <x v="2"/>
  </r>
  <r>
    <s v="EMP004"/>
    <s v="Harry Jones"/>
    <x v="2"/>
    <d v="2015-02-26T00:00:00"/>
    <n v="29057"/>
    <n v="3.9"/>
    <s v="harry.jones@novamart.co.uk"/>
    <s v="Contractor"/>
    <s v="Midlands"/>
    <m/>
    <m/>
    <x v="2"/>
    <s v="Senior"/>
    <s v="T. Williams"/>
    <s v="Edinburgh"/>
    <x v="1"/>
  </r>
  <r>
    <s v="EMP005"/>
    <s v="Priya Malik"/>
    <x v="3"/>
    <d v="2022-02-08T00:00:00"/>
    <n v="64232"/>
    <n v="2.2999999999999998"/>
    <s v="priya.malik@novamart.co.uk"/>
    <s v="Apprenticeship"/>
    <s v="North England"/>
    <m/>
    <m/>
    <x v="1"/>
    <s v="Manager"/>
    <s v="S. Hughes"/>
    <s v="Belfast"/>
    <x v="3"/>
  </r>
  <r>
    <s v="EMP006"/>
    <s v="Daniel Rao"/>
    <x v="4"/>
    <d v="2015-06-21T00:00:00"/>
    <n v="78337"/>
    <n v="3.9"/>
    <s v="daniel.rao@novamart.co.uk"/>
    <s v="Permanent"/>
    <s v="Wales"/>
    <m/>
    <m/>
    <x v="2"/>
    <s v="Junior"/>
    <s v="S. Hughes"/>
    <s v="Manchester"/>
    <x v="3"/>
  </r>
  <r>
    <s v="EMP007"/>
    <s v="James Cooper"/>
    <x v="5"/>
    <d v="2015-02-19T00:00:00"/>
    <n v="48539"/>
    <n v="3.9"/>
    <s v="james.cooper@novamart.co.uk"/>
    <s v="Part-Time"/>
    <s v="Scotland"/>
    <m/>
    <m/>
    <x v="2"/>
    <s v="Junior"/>
    <s v="L. Bennett"/>
    <s v="Cardiff"/>
    <x v="4"/>
  </r>
  <r>
    <s v="EMP008"/>
    <s v="Emma Johnson"/>
    <x v="0"/>
    <d v="2017-02-12T00:00:00"/>
    <n v="58272"/>
    <n v="1.7"/>
    <s v="emma.johnson@novamart.co.uk"/>
    <s v="Contractor"/>
    <s v="Scotland"/>
    <m/>
    <m/>
    <x v="0"/>
    <s v="Senior"/>
    <s v="A. Singh"/>
    <s v="Cardiff"/>
    <x v="5"/>
  </r>
  <r>
    <s v="EMP009"/>
    <s v="Callum Adams"/>
    <x v="3"/>
    <d v="2017-03-20T00:00:00"/>
    <n v="48046"/>
    <n v="1.2"/>
    <s v="N/A"/>
    <s v="Apprenticeship"/>
    <s v="West England"/>
    <m/>
    <m/>
    <x v="0"/>
    <s v="Lead"/>
    <s v="A. Singh"/>
    <s v="Edinburgh"/>
    <x v="5"/>
  </r>
  <r>
    <s v="EMP010"/>
    <s v="Zara Williams"/>
    <x v="5"/>
    <d v="2017-07-22T00:00:00"/>
    <n v="79551"/>
    <n v="2.4"/>
    <s v="zara.williams@novamart.co.uk"/>
    <s v="Contractor"/>
    <s v="Midlands"/>
    <m/>
    <m/>
    <x v="1"/>
    <s v="Senior"/>
    <s v="A. Singh"/>
    <s v="Edinburgh"/>
    <x v="5"/>
  </r>
  <r>
    <s v="EMP011"/>
    <s v="Freya Wright"/>
    <x v="4"/>
    <d v="2015-03-27T00:00:00"/>
    <n v="54523"/>
    <n v="2.5"/>
    <s v="freya.wright@novamart.co.uk"/>
    <s v="Permanent"/>
    <s v="Wales"/>
    <m/>
    <m/>
    <x v="1"/>
    <s v="Senior"/>
    <s v="A. Singh"/>
    <s v="Cardiff"/>
    <x v="5"/>
  </r>
  <r>
    <s v="EMP012"/>
    <s v="Tara Bell"/>
    <x v="2"/>
    <d v="2018-07-20T00:00:00"/>
    <n v="50296"/>
    <n v="3.9"/>
    <s v="tara.bell@novamart.co.uk"/>
    <s v="Part-Time"/>
    <s v="South England"/>
    <m/>
    <m/>
    <x v="2"/>
    <s v="Lead"/>
    <s v="A. Singh"/>
    <s v="Belfast"/>
    <x v="5"/>
  </r>
  <r>
    <s v="EMP013"/>
    <s v="Tara Bell"/>
    <x v="2"/>
    <d v="2018-07-20T00:00:00"/>
    <n v="50386"/>
    <n v="3.9"/>
    <s v="tara.bell@novamart.co.uk"/>
    <s v="Part-Time"/>
    <s v="South England"/>
    <m/>
    <m/>
    <x v="2"/>
    <s v="Manager"/>
    <s v="T. Williams"/>
    <s v="London"/>
    <x v="1"/>
  </r>
  <r>
    <s v="EMP014"/>
    <s v="Emma Wright"/>
    <x v="3"/>
    <d v="2019-08-02T00:00:00"/>
    <n v="55281"/>
    <n v="2.8"/>
    <s v="emma.wright@novamart.co.uk"/>
    <s v="Apprenticeship"/>
    <s v="Northern Ireland"/>
    <m/>
    <m/>
    <x v="1"/>
    <s v="Senior"/>
    <s v="D. Morgan"/>
    <s v="Cardiff"/>
    <x v="6"/>
  </r>
  <r>
    <s v="EMP015"/>
    <s v="Sophie Smith"/>
    <x v="2"/>
    <d v="2017-01-01T00:00:00"/>
    <n v="59209"/>
    <n v="4.7"/>
    <s v="sophie.smith@novamart.co.uk"/>
    <s v="Contractor"/>
    <s v="Midlands"/>
    <m/>
    <m/>
    <x v="3"/>
    <s v="Director"/>
    <s v="A. Singh"/>
    <s v="Cardiff"/>
    <x v="5"/>
  </r>
  <r>
    <s v="EMP016"/>
    <s v="Lily Singh"/>
    <x v="3"/>
    <d v="2022-07-06T00:00:00"/>
    <n v="26839"/>
    <n v="4.7"/>
    <s v="lily.singh@novamart.co.uk"/>
    <s v="Apprenticeship"/>
    <s v="Wales"/>
    <m/>
    <m/>
    <x v="3"/>
    <s v="Junior"/>
    <s v="R. Okafor"/>
    <s v="Edinburgh"/>
    <x v="2"/>
  </r>
  <r>
    <s v="EMP017"/>
    <s v="Max Wright"/>
    <x v="2"/>
    <d v="2016-01-11T00:00:00"/>
    <n v="32622"/>
    <n v="1.4"/>
    <s v="max.wright@novamart.co.uk"/>
    <s v="Fixed-Term"/>
    <s v="Wales"/>
    <m/>
    <m/>
    <x v="0"/>
    <s v="Mid"/>
    <s v="S. Hughes"/>
    <s v="Edinburgh"/>
    <x v="3"/>
  </r>
  <r>
    <s v="EMP018"/>
    <s v="Isla Khan"/>
    <x v="4"/>
    <d v="2017-02-04T00:00:00"/>
    <n v="65731"/>
    <n v="3.8"/>
    <s v="isla.khan@novamart.co.uk"/>
    <s v="Apprenticeship"/>
    <s v="East England"/>
    <m/>
    <m/>
    <x v="2"/>
    <s v="Junior"/>
    <s v="D. Morgan"/>
    <s v="Edinburgh"/>
    <x v="6"/>
  </r>
  <r>
    <s v="EMP019"/>
    <s v="Jess Davies"/>
    <x v="6"/>
    <d v="2018-03-30T00:00:00"/>
    <n v="73090"/>
    <n v="2.8"/>
    <s v="N/A"/>
    <s v="Fixed-Term"/>
    <s v="Scotland"/>
    <m/>
    <m/>
    <x v="1"/>
    <s v="Senior"/>
    <s v="S. Hughes"/>
    <s v="Belfast"/>
    <x v="3"/>
  </r>
  <r>
    <s v="EMP020"/>
    <s v="Jess Davies"/>
    <x v="6"/>
    <d v="2018-03-30T00:00:00"/>
    <n v="42583"/>
    <n v="2.8"/>
    <s v="N/A"/>
    <s v="Fixed-Term"/>
    <s v="Scotland"/>
    <m/>
    <m/>
    <x v="1"/>
    <s v="Director"/>
    <s v="R. Okafor"/>
    <s v="Belfast"/>
    <x v="2"/>
  </r>
  <r>
    <s v="EMP021"/>
    <s v="Ben Gupta"/>
    <x v="6"/>
    <d v="2021-03-14T00:00:00"/>
    <n v="64254"/>
    <n v="3"/>
    <s v="ben.gupta@novamart.co.uk"/>
    <s v="Permanent"/>
    <s v="East England"/>
    <m/>
    <m/>
    <x v="2"/>
    <s v="Lead"/>
    <s v="M. Patel"/>
    <s v="Birmingham"/>
    <x v="7"/>
  </r>
  <r>
    <s v="EMP022"/>
    <s v="Noah Wright"/>
    <x v="4"/>
    <d v="2021-06-21T00:00:00"/>
    <n v="31586"/>
    <n v="1.5"/>
    <s v="noah.wright@novamart.co.uk"/>
    <s v="Part-Time"/>
    <s v="Scotland"/>
    <m/>
    <m/>
    <x v="0"/>
    <s v="Junior"/>
    <s v="J. Carter"/>
    <s v="Manchester"/>
    <x v="0"/>
  </r>
  <r>
    <s v="EMP023"/>
    <s v="Daniel Ahmed"/>
    <x v="0"/>
    <d v="2016-01-23T00:00:00"/>
    <n v="30167"/>
    <n v="1"/>
    <s v="daniel.ahmed@novamart.co.uk"/>
    <s v="Part-Time"/>
    <s v="North England"/>
    <m/>
    <m/>
    <x v="0"/>
    <s v="Senior"/>
    <s v="D. Morgan"/>
    <s v="Belfast"/>
    <x v="6"/>
  </r>
  <r>
    <s v="EMP024"/>
    <s v="James Ali"/>
    <x v="7"/>
    <d v="2023-01-15T00:00:00"/>
    <n v="33140"/>
    <n v="2.4"/>
    <s v="james.ali@novamart.co.uk"/>
    <s v="Fixed-Term"/>
    <s v="North England"/>
    <m/>
    <m/>
    <x v="1"/>
    <s v="Senior"/>
    <s v="T. Williams"/>
    <s v="Cardiff"/>
    <x v="1"/>
  </r>
  <r>
    <s v="EMP025"/>
    <s v="Lucas Baker"/>
    <x v="8"/>
    <d v="2018-06-08T00:00:00"/>
    <n v="24971"/>
    <n v="1.5"/>
    <s v="lucas.baker@novamart.co.uk"/>
    <s v="Fixed-Term"/>
    <s v="Northern Ireland"/>
    <m/>
    <m/>
    <x v="0"/>
    <s v="Lead"/>
    <s v="R. Okafor"/>
    <s v="Edinburgh"/>
    <x v="2"/>
  </r>
  <r>
    <s v="EMP026"/>
    <s v="Ryan Khan"/>
    <x v="8"/>
    <d v="2018-12-20T00:00:00"/>
    <n v="78449"/>
    <n v="3.9"/>
    <s v="ryan.khan@novamart.co.uk"/>
    <s v="Part-Time"/>
    <s v="Wales"/>
    <m/>
    <m/>
    <x v="2"/>
    <s v="Lead"/>
    <s v="R. Okafor"/>
    <s v="Edinburgh"/>
    <x v="2"/>
  </r>
  <r>
    <s v="EMP027"/>
    <s v="Nadia Jones"/>
    <x v="4"/>
    <d v="2021-08-12T00:00:00"/>
    <n v="51561"/>
    <n v="2.7"/>
    <s v="nadia.jones@novamart.co.uk"/>
    <s v="Part-Time"/>
    <s v="East England"/>
    <m/>
    <m/>
    <x v="1"/>
    <s v="Manager"/>
    <s v="S. Hughes"/>
    <s v="London"/>
    <x v="3"/>
  </r>
  <r>
    <s v="EMP028"/>
    <s v="Isla Williams"/>
    <x v="6"/>
    <d v="2018-12-30T00:00:00"/>
    <n v="70151"/>
    <n v="2.7"/>
    <s v="isla.williams@novamart.co.uk"/>
    <s v="Part-Time"/>
    <s v="Scotland"/>
    <m/>
    <m/>
    <x v="1"/>
    <s v="Lead"/>
    <s v="A. Singh"/>
    <s v="Belfast"/>
    <x v="5"/>
  </r>
  <r>
    <s v="EMP029"/>
    <s v="Sophie Cox"/>
    <x v="7"/>
    <d v="2015-05-20T00:00:00"/>
    <n v="50347"/>
    <n v="2.2000000000000002"/>
    <s v="sophie.cox@novamart.co.uk"/>
    <s v="Permanent"/>
    <s v="West England"/>
    <m/>
    <m/>
    <x v="1"/>
    <s v="Mid"/>
    <s v="L. Bennett"/>
    <s v="Belfast"/>
    <x v="4"/>
  </r>
  <r>
    <s v="EMP030"/>
    <s v="Jack Williams"/>
    <x v="4"/>
    <d v="2019-01-13T00:00:00"/>
    <s v="Unassigned"/>
    <n v="2.2000000000000002"/>
    <s v="jack.williams@novamart.co.uk"/>
    <s v="Part-Time"/>
    <s v="Northern Ireland"/>
    <m/>
    <m/>
    <x v="1"/>
    <s v="Junior"/>
    <s v="L. Bennett"/>
    <s v="London"/>
    <x v="4"/>
  </r>
  <r>
    <s v="EMP031"/>
    <s v="Finn Reed"/>
    <x v="6"/>
    <d v="2016-10-19T00:00:00"/>
    <n v="51265"/>
    <n v="1.2"/>
    <s v="finn.reed@novamart.co.uk"/>
    <s v="Part-Time"/>
    <s v="Northern Ireland"/>
    <m/>
    <m/>
    <x v="0"/>
    <s v="Junior"/>
    <s v="M. Patel"/>
    <s v="Belfast"/>
    <x v="7"/>
  </r>
  <r>
    <s v="EMP032"/>
    <s v="Fatima Sharma"/>
    <x v="5"/>
    <d v="2019-08-08T00:00:00"/>
    <n v="47856"/>
    <n v="1.8"/>
    <s v="fatima.sharma@novamart.co.uk"/>
    <s v="Contractor"/>
    <s v="Wales"/>
    <m/>
    <m/>
    <x v="0"/>
    <s v="Lead"/>
    <s v="D. Morgan"/>
    <s v="Manchester"/>
    <x v="6"/>
  </r>
  <r>
    <s v="EMP033"/>
    <s v="Amy Green"/>
    <x v="3"/>
    <d v="2023-12-02T00:00:00"/>
    <n v="60847"/>
    <n v="4.5"/>
    <s v="N/A"/>
    <s v="Fixed-Term"/>
    <s v="Scotland"/>
    <m/>
    <m/>
    <x v="3"/>
    <s v="Manager"/>
    <s v="T. Williams"/>
    <s v="Belfast"/>
    <x v="1"/>
  </r>
  <r>
    <s v="EMP034"/>
    <s v="Nadia Scott"/>
    <x v="8"/>
    <d v="2017-06-01T00:00:00"/>
    <n v="37679"/>
    <n v="1.9"/>
    <s v="nadia.scott@novamart.co.uk"/>
    <s v="Permanent"/>
    <s v="Midlands"/>
    <m/>
    <m/>
    <x v="0"/>
    <s v="Junior"/>
    <s v="S. Hughes"/>
    <s v="Edinburgh"/>
    <x v="3"/>
  </r>
  <r>
    <s v="EMP035"/>
    <s v="Noah Davies"/>
    <x v="6"/>
    <d v="2023-03-04T00:00:00"/>
    <n v="58847"/>
    <n v="1.5"/>
    <s v="noah.davies@novamart.co.uk"/>
    <s v="Contractor"/>
    <s v="South England"/>
    <m/>
    <m/>
    <x v="0"/>
    <s v="Manager"/>
    <s v="M. Patel"/>
    <s v="Manchester"/>
    <x v="7"/>
  </r>
  <r>
    <s v="EMP036"/>
    <s v="Liam Wright"/>
    <x v="0"/>
    <d v="2020-09-14T00:00:00"/>
    <n v="73429"/>
    <n v="2.2000000000000002"/>
    <s v="liam.wright@novamart.co.uk"/>
    <s v="Permanent"/>
    <s v="South England"/>
    <m/>
    <m/>
    <x v="1"/>
    <s v="Manager"/>
    <s v="S. Hughes"/>
    <s v="Birmingham"/>
    <x v="3"/>
  </r>
  <r>
    <s v="EMP037"/>
    <s v="Isla Walker"/>
    <x v="4"/>
    <d v="2020-12-01T00:00:00"/>
    <n v="51381"/>
    <n v="4.3"/>
    <s v="isla.walker@novamart.co.uk"/>
    <s v="Apprenticeship"/>
    <s v="North England"/>
    <m/>
    <m/>
    <x v="3"/>
    <s v="Director"/>
    <s v="A. Singh"/>
    <s v="Birmingham"/>
    <x v="5"/>
  </r>
  <r>
    <s v="EMP038"/>
    <s v="Mohammed Morris"/>
    <x v="2"/>
    <d v="2018-03-22T00:00:00"/>
    <n v="71396"/>
    <n v="1.4"/>
    <s v="mohammed.morris@novamart.co.uk"/>
    <s v="Part-Time"/>
    <s v="Scotland"/>
    <m/>
    <m/>
    <x v="0"/>
    <s v="Director"/>
    <s v="T. Williams"/>
    <s v="London"/>
    <x v="1"/>
  </r>
  <r>
    <s v="EMP039"/>
    <s v="Nadia Jones"/>
    <x v="6"/>
    <d v="2022-11-19T00:00:00"/>
    <n v="61045"/>
    <n v="1.7"/>
    <s v="nadia.jones@novamart.co.uk"/>
    <s v="Permanent"/>
    <s v="East England"/>
    <m/>
    <m/>
    <x v="0"/>
    <s v="Manager"/>
    <s v="J. Carter"/>
    <s v="London"/>
    <x v="0"/>
  </r>
  <r>
    <s v="EMP040"/>
    <s v="George Khan"/>
    <x v="2"/>
    <d v="2022-05-04T00:00:00"/>
    <n v="31607"/>
    <n v="2.9"/>
    <s v="george.khan@novamart.co.uk"/>
    <s v="Apprenticeship"/>
    <s v="East England"/>
    <m/>
    <m/>
    <x v="1"/>
    <s v="Lead"/>
    <s v="J. Carter"/>
    <s v="Manchester"/>
    <x v="0"/>
  </r>
  <r>
    <s v="EMP041"/>
    <s v="Grace Hussain"/>
    <x v="1"/>
    <d v="2020-07-14T00:00:00"/>
    <n v="69282"/>
    <n v="2"/>
    <s v="grace.hussain@novamart.co.uk"/>
    <s v="Contractor"/>
    <s v="South England"/>
    <m/>
    <m/>
    <x v="0"/>
    <s v="Mid"/>
    <s v="M. Patel"/>
    <s v="Manchester"/>
    <x v="7"/>
  </r>
  <r>
    <s v="EMP042"/>
    <s v="Nina Rao"/>
    <x v="7"/>
    <d v="2018-11-10T00:00:00"/>
    <n v="42236"/>
    <n v="1.9"/>
    <s v="nina.rao@novamart.co.uk"/>
    <s v="Fixed-Term"/>
    <s v="Scotland"/>
    <m/>
    <m/>
    <x v="0"/>
    <s v="Mid"/>
    <s v="A. Singh"/>
    <s v="Manchester"/>
    <x v="5"/>
  </r>
  <r>
    <s v="EMP043"/>
    <s v="Adam Thomas"/>
    <x v="6"/>
    <d v="2019-03-31T00:00:00"/>
    <n v="72651"/>
    <n v="1.8"/>
    <s v="adam.thomas@novamart.co.uk"/>
    <s v="Permanent"/>
    <s v="North England"/>
    <m/>
    <m/>
    <x v="0"/>
    <s v="Junior"/>
    <s v="R. Okafor"/>
    <s v="Edinburgh"/>
    <x v="2"/>
  </r>
  <r>
    <s v="EMP044"/>
    <s v="Priya Murphy"/>
    <x v="4"/>
    <d v="2020-10-23T00:00:00"/>
    <n v="39364"/>
    <n v="2.8"/>
    <s v="priya.murphy@novamart.co.uk"/>
    <s v="Fixed-Term"/>
    <s v="South England"/>
    <m/>
    <m/>
    <x v="1"/>
    <s v="Senior"/>
    <s v="J. Carter"/>
    <s v="London"/>
    <x v="0"/>
  </r>
  <r>
    <s v="EMP045"/>
    <s v="Ryan Green"/>
    <x v="4"/>
    <d v="2017-08-03T00:00:00"/>
    <n v="59911"/>
    <n v="3.1"/>
    <s v="ryan.green@novamart.co.uk"/>
    <s v="Part-Time"/>
    <s v="Northern Ireland"/>
    <m/>
    <m/>
    <x v="2"/>
    <s v="Junior"/>
    <s v="S. Hughes"/>
    <s v="Manchester"/>
    <x v="3"/>
  </r>
  <r>
    <s v="EMP046"/>
    <s v="Harry Scott"/>
    <x v="2"/>
    <d v="2022-05-10T00:00:00"/>
    <n v="47122"/>
    <n v="2"/>
    <s v="harry.scott@novamart.co.uk"/>
    <s v="Apprenticeship"/>
    <s v="Scotland"/>
    <m/>
    <m/>
    <x v="0"/>
    <s v="Manager"/>
    <s v="L. Bennett"/>
    <s v="London"/>
    <x v="4"/>
  </r>
  <r>
    <s v="EMP047"/>
    <s v="Mia Ward"/>
    <x v="0"/>
    <d v="2020-05-24T00:00:00"/>
    <n v="66451"/>
    <n v="1.8"/>
    <s v="mia.ward@novamart.co.uk"/>
    <s v="Permanent"/>
    <s v="Wales"/>
    <m/>
    <m/>
    <x v="0"/>
    <s v="Director"/>
    <s v="S. Hughes"/>
    <s v="Cardiff"/>
    <x v="3"/>
  </r>
  <r>
    <s v="EMP048"/>
    <s v="Olivia Ahmed"/>
    <x v="1"/>
    <d v="2015-10-09T00:00:00"/>
    <n v="70740"/>
    <n v="1.5"/>
    <s v="olivia.ahmed@novamart.co.uk"/>
    <s v="Permanent"/>
    <s v="North England"/>
    <m/>
    <m/>
    <x v="0"/>
    <s v="Director"/>
    <s v="M. Patel"/>
    <s v="Manchester"/>
    <x v="7"/>
  </r>
  <r>
    <s v="EMP049"/>
    <s v="Amelia Davies"/>
    <x v="3"/>
    <d v="2020-01-21T00:00:00"/>
    <n v="70632"/>
    <n v="4.2"/>
    <s v="amelia.davies@novamart.co.uk"/>
    <s v="Fixed-Term"/>
    <s v="Northern Ireland"/>
    <m/>
    <m/>
    <x v="3"/>
    <s v="Manager"/>
    <s v="M. Patel"/>
    <s v="London"/>
    <x v="7"/>
  </r>
  <r>
    <s v="EMP050"/>
    <s v="Emma Bailey"/>
    <x v="7"/>
    <d v="2022-05-14T00:00:00"/>
    <n v="75920"/>
    <n v="3.4"/>
    <s v="emma.bailey@novamart.co.uk"/>
    <s v="Permanent"/>
    <s v="Wales"/>
    <m/>
    <m/>
    <x v="2"/>
    <s v="Manager"/>
    <s v="J. Carter"/>
    <s v="Manchester"/>
    <x v="0"/>
  </r>
  <r>
    <s v="EMP051"/>
    <s v="Sarah Walker"/>
    <x v="0"/>
    <d v="2017-08-12T00:00:00"/>
    <n v="47604"/>
    <n v="1.9"/>
    <s v="N/A"/>
    <s v="Permanent"/>
    <s v="West England"/>
    <m/>
    <m/>
    <x v="0"/>
    <s v="Junior"/>
    <s v="S. Hughes"/>
    <s v="Birmingham"/>
    <x v="3"/>
  </r>
  <r>
    <s v="EMP052"/>
    <s v="Owen Baker"/>
    <x v="1"/>
    <d v="2016-12-31T00:00:00"/>
    <n v="38686"/>
    <n v="4"/>
    <s v="owen.baker@novamart.co.uk"/>
    <s v="Contractor"/>
    <s v="Scotland"/>
    <m/>
    <m/>
    <x v="3"/>
    <s v="Junior"/>
    <s v="S. Hughes"/>
    <s v="Manchester"/>
    <x v="3"/>
  </r>
  <r>
    <s v="EMP053"/>
    <s v="Ravi King"/>
    <x v="3"/>
    <d v="2021-07-24T00:00:00"/>
    <n v="53984"/>
    <n v="3.1"/>
    <s v="N/A"/>
    <s v="Contractor"/>
    <s v="West England"/>
    <m/>
    <m/>
    <x v="2"/>
    <s v="Lead"/>
    <s v="L. Bennett"/>
    <s v="Manchester"/>
    <x v="4"/>
  </r>
  <r>
    <s v="EMP054"/>
    <s v="Jack Morris"/>
    <x v="3"/>
    <d v="2019-02-02T00:00:00"/>
    <n v="74160"/>
    <n v="4"/>
    <s v="jack.morris@novamart.co.uk"/>
    <s v="Part-Time"/>
    <s v="West England"/>
    <m/>
    <m/>
    <x v="3"/>
    <s v="Senior"/>
    <s v="A. Singh"/>
    <s v="London"/>
    <x v="5"/>
  </r>
  <r>
    <s v="EMP055"/>
    <s v="Olivia Baker"/>
    <x v="3"/>
    <d v="2020-09-10T00:00:00"/>
    <n v="61414"/>
    <n v="2.9"/>
    <s v="olivia.baker@novamart.co.uk"/>
    <s v="Fixed-Term"/>
    <s v="Scotland"/>
    <m/>
    <m/>
    <x v="1"/>
    <s v="Mid"/>
    <s v="J. Carter"/>
    <s v="Cardiff"/>
    <x v="0"/>
  </r>
  <r>
    <s v="EMP056"/>
    <s v="Harry Singh"/>
    <x v="6"/>
    <d v="2020-07-22T00:00:00"/>
    <n v="31072"/>
    <n v="3.7"/>
    <s v="harry.singh@novamart.co.uk"/>
    <s v="Apprenticeship"/>
    <s v="East England"/>
    <m/>
    <m/>
    <x v="2"/>
    <s v="Junior"/>
    <s v="A. Singh"/>
    <s v="Manchester"/>
    <x v="5"/>
  </r>
  <r>
    <s v="EMP057"/>
    <s v="Tara Johnson"/>
    <x v="2"/>
    <d v="2018-03-16T00:00:00"/>
    <n v="74808"/>
    <n v="2.9"/>
    <s v="tara.johnson@novamart.co.uk"/>
    <s v="Apprenticeship"/>
    <s v="East England"/>
    <m/>
    <m/>
    <x v="1"/>
    <s v="Mid"/>
    <s v="M. Patel"/>
    <s v="Edinburgh"/>
    <x v="7"/>
  </r>
  <r>
    <s v="EMP058"/>
    <s v="Sarah Taylor"/>
    <x v="2"/>
    <d v="2023-02-21T00:00:00"/>
    <n v="69388"/>
    <n v="3.8"/>
    <s v="sarah.taylor@novamart.co.uk"/>
    <s v="Part-Time"/>
    <s v="West England"/>
    <m/>
    <m/>
    <x v="2"/>
    <s v="Lead"/>
    <s v="J. Carter"/>
    <s v="Edinburgh"/>
    <x v="0"/>
  </r>
  <r>
    <s v="EMP059"/>
    <s v="Jess Taylor"/>
    <x v="6"/>
    <d v="2021-04-13T00:00:00"/>
    <n v="45514"/>
    <n v="2.2000000000000002"/>
    <s v="jess.taylor@novamart.co.uk"/>
    <s v="Apprenticeship"/>
    <s v="North England"/>
    <m/>
    <m/>
    <x v="1"/>
    <s v="Senior"/>
    <s v="T. Williams"/>
    <s v="Manchester"/>
    <x v="1"/>
  </r>
  <r>
    <s v="EMP060"/>
    <s v="Noah Bailey"/>
    <x v="3"/>
    <d v="2022-01-05T00:00:00"/>
    <n v="29897"/>
    <n v="1.7"/>
    <s v="noah.bailey@novamart.co.uk"/>
    <s v="Permanent"/>
    <s v="Midlands"/>
    <m/>
    <m/>
    <x v="0"/>
    <s v="Lead"/>
    <s v="R. Okafor"/>
    <s v="Cardiff"/>
    <x v="2"/>
  </r>
  <r>
    <s v="EMP061"/>
    <s v="Ryan Bell"/>
    <x v="6"/>
    <d v="2017-02-26T00:00:00"/>
    <n v="72809"/>
    <n v="3.2"/>
    <s v="ryan.bell@novamart.co.uk"/>
    <s v="Permanent"/>
    <s v="Midlands"/>
    <m/>
    <m/>
    <x v="2"/>
    <s v="Manager"/>
    <s v="L. Bennett"/>
    <s v="Cardiff"/>
    <x v="4"/>
  </r>
  <r>
    <s v="EMP062"/>
    <s v="Olivia Wright"/>
    <x v="8"/>
    <d v="2015-11-27T00:00:00"/>
    <n v="78671"/>
    <n v="1.3"/>
    <s v="olivia.wright@novamart.co.uk"/>
    <s v="Part-Time"/>
    <s v="Scotland"/>
    <m/>
    <m/>
    <x v="0"/>
    <s v="Manager"/>
    <s v="S. Hughes"/>
    <s v="London"/>
    <x v="3"/>
  </r>
  <r>
    <s v="EMP063"/>
    <s v="Freya Walker"/>
    <x v="0"/>
    <d v="2018-11-02T00:00:00"/>
    <n v="34189"/>
    <n v="4.3"/>
    <s v="freya.walker@novamart.co.uk"/>
    <s v="Fixed-Term"/>
    <s v="East England"/>
    <m/>
    <m/>
    <x v="3"/>
    <s v="Lead"/>
    <s v="T. Williams"/>
    <s v="London"/>
    <x v="1"/>
  </r>
  <r>
    <s v="EMP064"/>
    <s v="Priya Cooper"/>
    <x v="4"/>
    <d v="2021-01-22T00:00:00"/>
    <n v="65186"/>
    <n v="2.9"/>
    <s v="priya.cooper@novamart.co.uk"/>
    <s v="Permanent"/>
    <s v="Wales"/>
    <m/>
    <m/>
    <x v="1"/>
    <s v="Mid"/>
    <s v="S. Hughes"/>
    <s v="Birmingham"/>
    <x v="3"/>
  </r>
  <r>
    <s v="EMP065"/>
    <s v="Sophie Williams"/>
    <x v="6"/>
    <d v="2022-01-31T00:00:00"/>
    <n v="30971"/>
    <n v="2"/>
    <s v="sophie.williams@novamart.co.uk"/>
    <s v="Contractor"/>
    <s v="North England"/>
    <m/>
    <m/>
    <x v="0"/>
    <s v="Director"/>
    <s v="M. Patel"/>
    <s v="Belfast"/>
    <x v="7"/>
  </r>
  <r>
    <s v="EMP066"/>
    <s v="Freya Hussain"/>
    <x v="7"/>
    <d v="2021-08-14T00:00:00"/>
    <n v="41048"/>
    <n v="2.2000000000000002"/>
    <s v="freya.hussain@novamart.co.uk"/>
    <s v="Apprenticeship"/>
    <s v="South England"/>
    <m/>
    <m/>
    <x v="1"/>
    <s v="Junior"/>
    <s v="J. Carter"/>
    <s v="Birmingham"/>
    <x v="0"/>
  </r>
  <r>
    <s v="EMP067"/>
    <s v="Sam Wilson"/>
    <x v="0"/>
    <d v="2015-08-22T00:00:00"/>
    <n v="59280"/>
    <n v="4.5"/>
    <s v="sam.wilson@novamart.co.uk"/>
    <s v="Apprenticeship"/>
    <s v="West England"/>
    <m/>
    <m/>
    <x v="3"/>
    <s v="Junior"/>
    <s v="M. Patel"/>
    <s v="Belfast"/>
    <x v="7"/>
  </r>
  <r>
    <s v="EMP068"/>
    <s v="James Cooper"/>
    <x v="3"/>
    <d v="2017-08-23T00:00:00"/>
    <n v="25648"/>
    <n v="3.9"/>
    <s v="james.cooper@novamart.co.uk"/>
    <s v="Part-Time"/>
    <s v="Northern Ireland"/>
    <m/>
    <m/>
    <x v="2"/>
    <s v="Lead"/>
    <s v="S. Hughes"/>
    <s v="Birmingham"/>
    <x v="3"/>
  </r>
  <r>
    <s v="EMP069"/>
    <s v="James Cooper"/>
    <x v="3"/>
    <d v="2017-08-23T00:00:00"/>
    <n v="54915"/>
    <n v="3.9"/>
    <s v="james.cooper@novamart.co.uk"/>
    <s v="Part-Time"/>
    <s v="Northern Ireland"/>
    <m/>
    <m/>
    <x v="2"/>
    <s v="Junior"/>
    <s v="D. Morgan"/>
    <s v="London"/>
    <x v="6"/>
  </r>
  <r>
    <s v="EMP070"/>
    <s v="Finn Hussain"/>
    <x v="2"/>
    <d v="2016-12-29T00:00:00"/>
    <n v="37679"/>
    <n v="4.9000000000000004"/>
    <s v="N/A"/>
    <s v="Apprenticeship"/>
    <s v="Scotland"/>
    <m/>
    <m/>
    <x v="3"/>
    <s v="Junior"/>
    <s v="R. Okafor"/>
    <s v="Edinburgh"/>
    <x v="2"/>
  </r>
  <r>
    <s v="EMP071"/>
    <s v="Nina Clarke"/>
    <x v="6"/>
    <d v="2017-01-17T00:00:00"/>
    <n v="67033"/>
    <n v="1.6"/>
    <s v="nina.clarke@novamart.co.uk"/>
    <s v="Permanent"/>
    <s v="East England"/>
    <m/>
    <m/>
    <x v="0"/>
    <s v="Mid"/>
    <s v="T. Williams"/>
    <s v="Birmingham"/>
    <x v="1"/>
  </r>
  <r>
    <s v="EMP072"/>
    <s v="Luke Smith"/>
    <x v="1"/>
    <d v="2016-09-06T00:00:00"/>
    <n v="49300"/>
    <n v="2.9"/>
    <s v="luke.smith@novamart.co.uk"/>
    <s v="Fixed-Term"/>
    <s v="Northern Ireland"/>
    <m/>
    <m/>
    <x v="1"/>
    <s v="Lead"/>
    <s v="S. Hughes"/>
    <s v="London"/>
    <x v="3"/>
  </r>
  <r>
    <s v="EMP073"/>
    <s v="Tara Ali"/>
    <x v="0"/>
    <d v="2021-02-11T00:00:00"/>
    <n v="50969"/>
    <n v="2.4"/>
    <s v="tara.ali@novamart.co.uk"/>
    <s v="Contractor"/>
    <s v="Midlands"/>
    <m/>
    <m/>
    <x v="1"/>
    <s v="Junior"/>
    <s v="M. Patel"/>
    <s v="Manchester"/>
    <x v="7"/>
  </r>
  <r>
    <s v="EMP074"/>
    <s v="George King"/>
    <x v="6"/>
    <d v="2019-05-30T00:00:00"/>
    <n v="63234"/>
    <n v="3.6"/>
    <s v="george.king@novamart.co.uk"/>
    <s v="Fixed-Term"/>
    <s v="Northern Ireland"/>
    <m/>
    <m/>
    <x v="2"/>
    <s v="Lead"/>
    <s v="S. Hughes"/>
    <s v="Edinburgh"/>
    <x v="3"/>
  </r>
  <r>
    <s v="EMP075"/>
    <s v="Ravi Williams"/>
    <x v="1"/>
    <d v="2018-02-19T00:00:00"/>
    <n v="49207"/>
    <n v="1.2"/>
    <s v="ravi.williams@novamart.co.uk"/>
    <s v="Part-Time"/>
    <s v="Midlands"/>
    <m/>
    <m/>
    <x v="0"/>
    <s v="Lead"/>
    <s v="D. Morgan"/>
    <s v="Manchester"/>
    <x v="6"/>
  </r>
  <r>
    <s v="EMP076"/>
    <s v="Maya Rao"/>
    <x v="1"/>
    <d v="2022-04-25T00:00:00"/>
    <n v="71082"/>
    <n v="4.9000000000000004"/>
    <s v="maya.rao@novamart.co.uk"/>
    <s v="Fixed-Term"/>
    <s v="Midlands"/>
    <m/>
    <m/>
    <x v="3"/>
    <s v="Lead"/>
    <s v="L. Bennett"/>
    <s v="Birmingham"/>
    <x v="4"/>
  </r>
  <r>
    <s v="EMP077"/>
    <s v="Owen Ward"/>
    <x v="6"/>
    <d v="2020-12-22T00:00:00"/>
    <n v="50955"/>
    <n v="2.4"/>
    <s v="owen.ward@novamart.co.uk"/>
    <s v="Fixed-Term"/>
    <s v="Midlands"/>
    <m/>
    <m/>
    <x v="1"/>
    <s v="Director"/>
    <s v="T. Williams"/>
    <s v="London"/>
    <x v="1"/>
  </r>
  <r>
    <s v="EMP078"/>
    <s v="Luke Thomas"/>
    <x v="4"/>
    <d v="2015-12-28T00:00:00"/>
    <n v="34583"/>
    <n v="2.9"/>
    <s v="luke.thomas@novamart.co.uk"/>
    <s v="Permanent"/>
    <s v="East England"/>
    <m/>
    <m/>
    <x v="1"/>
    <s v="Lead"/>
    <s v="L. Bennett"/>
    <s v="Edinburgh"/>
    <x v="4"/>
  </r>
  <r>
    <s v="EMP079"/>
    <s v="James Morris"/>
    <x v="4"/>
    <d v="2016-10-03T00:00:00"/>
    <n v="69803"/>
    <n v="4.8"/>
    <s v="N/A"/>
    <s v="Apprenticeship"/>
    <s v="Scotland"/>
    <m/>
    <m/>
    <x v="3"/>
    <s v="Junior"/>
    <s v="J. Carter"/>
    <s v="Cardiff"/>
    <x v="0"/>
  </r>
  <r>
    <s v="EMP080"/>
    <s v="Luke Bell"/>
    <x v="1"/>
    <d v="2018-07-30T00:00:00"/>
    <n v="22374"/>
    <n v="3.2"/>
    <s v="N/A"/>
    <s v="Apprenticeship"/>
    <s v="South England"/>
    <m/>
    <m/>
    <x v="2"/>
    <s v="Manager"/>
    <s v="J. Carter"/>
    <s v="Manchester"/>
    <x v="0"/>
  </r>
  <r>
    <s v="EMP081"/>
    <s v="Ravi Malik"/>
    <x v="2"/>
    <d v="2016-08-31T00:00:00"/>
    <n v="50296"/>
    <n v="4.5999999999999996"/>
    <s v="ravi.malik@novamart.co.uk"/>
    <s v="Part-Time"/>
    <s v="Northern Ireland"/>
    <m/>
    <m/>
    <x v="3"/>
    <s v="Lead"/>
    <s v="D. Morgan"/>
    <s v="Manchester"/>
    <x v="6"/>
  </r>
  <r>
    <s v="EMP082"/>
    <s v="Maya Adams"/>
    <x v="4"/>
    <d v="2022-05-12T00:00:00"/>
    <n v="41048"/>
    <n v="4.4000000000000004"/>
    <s v="maya.adams@novamart.co.uk"/>
    <s v="Apprenticeship"/>
    <s v="Wales"/>
    <m/>
    <m/>
    <x v="3"/>
    <s v="Lead"/>
    <s v="L. Bennett"/>
    <s v="Edinburgh"/>
    <x v="4"/>
  </r>
  <r>
    <s v="EMP083"/>
    <s v="Daniel Wright"/>
    <x v="0"/>
    <d v="2018-02-17T00:00:00"/>
    <n v="65731"/>
    <n v="2.5"/>
    <s v="daniel.wright@novamart.co.uk"/>
    <s v="Permanent"/>
    <s v="West England"/>
    <m/>
    <m/>
    <x v="1"/>
    <s v="Manager"/>
    <s v="J. Carter"/>
    <s v="Manchester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79F98-3FBB-4727-8B50-86A5410CAE4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C24" firstHeaderRow="1" firstDataRow="1" firstDataCol="2"/>
  <pivotFields count="20"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4" outline="0" showAll="0"/>
    <pivotField compact="0" numFmtId="14" outline="0" showAll="0"/>
    <pivotField compact="0" outline="0" showAll="0">
      <items count="9">
        <item x="6"/>
        <item x="3"/>
        <item x="4"/>
        <item x="2"/>
        <item x="5"/>
        <item x="1"/>
        <item x="7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3">
        <item x="0"/>
        <item x="1"/>
        <item x="10"/>
        <item x="8"/>
        <item x="9"/>
        <item x="2"/>
        <item x="7"/>
        <item x="4"/>
        <item x="3"/>
        <item x="6"/>
        <item x="5"/>
        <item x="11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2">
    <field x="17"/>
    <field x="16"/>
  </rowFields>
  <rowItems count="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rowItems>
  <colItems count="1">
    <i/>
  </colItems>
  <dataFields count="1">
    <dataField name="Sum of Total Revenue Per Purchase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DDCB3-3614-48BC-A705-02FB43101049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83:B93" firstHeaderRow="1" firstDataRow="1" firstDataCol="1"/>
  <pivotFields count="16">
    <pivotField compact="0" outline="0" showAll="0"/>
    <pivotField compact="0" outline="0" showAll="0"/>
    <pivotField axis="axisRow" compact="0" outline="0" showAll="0">
      <items count="10">
        <item x="6"/>
        <item x="0"/>
        <item x="8"/>
        <item x="1"/>
        <item x="2"/>
        <item x="7"/>
        <item x="5"/>
        <item x="4"/>
        <item x="3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nnual Salary" fld="4" subtotal="average" baseField="0" baseItem="0" numFmtId="2"/>
  </dataFields>
  <formats count="1">
    <format dxfId="12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937F2-D283-4C76-A7A6-419DD459C0F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68:F79" firstHeaderRow="1" firstDataRow="2" firstDataCol="1"/>
  <pivotFields count="16">
    <pivotField compact="0" outline="0" showAll="0"/>
    <pivotField compact="0" outline="0" showAll="0"/>
    <pivotField axis="axisRow" compact="0" outline="0" showAll="0">
      <items count="10">
        <item x="6"/>
        <item x="0"/>
        <item x="8"/>
        <item x="1"/>
        <item x="2"/>
        <item x="7"/>
        <item x="5"/>
        <item x="4"/>
        <item x="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5"/>
        <item x="6"/>
        <item x="0"/>
        <item x="4"/>
        <item x="7"/>
        <item x="2"/>
        <item x="3"/>
        <item x="1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erformance Score 2" fld="11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EEF40-009D-40BF-876D-7706907D0C7E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4:B64" firstHeaderRow="1" firstDataRow="1" firstDataCol="1"/>
  <pivotFields count="7">
    <pivotField dataField="1" compact="0" outline="0" showAll="0"/>
    <pivotField compact="0" outline="0" showAll="0"/>
    <pivotField compact="0" numFmtId="14" outline="0" showAll="0"/>
    <pivotField axis="axisRow" compact="0" outline="0" showAll="0">
      <items count="10">
        <item x="3"/>
        <item x="2"/>
        <item x="1"/>
        <item x="7"/>
        <item x="6"/>
        <item x="4"/>
        <item x="8"/>
        <item x="0"/>
        <item x="5"/>
        <item t="default"/>
      </items>
    </pivotField>
    <pivotField compact="0" numFmtId="2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Return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63E9E-5261-4BF1-B452-46D6167CFE5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1:B50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2"/>
        <item x="5"/>
        <item x="0"/>
        <item x="4"/>
        <item x="8"/>
        <item x="7"/>
        <item x="9"/>
        <item x="6"/>
        <item x="3"/>
        <item t="default"/>
      </items>
    </pivotField>
    <pivotField compact="0" numFmtId="2" outline="0" showAll="0"/>
    <pivotField compact="0" numFmtId="14" outline="0" showAll="0"/>
    <pivotField compact="0" numFmtId="14" outline="0" showAll="0"/>
    <pivotField compact="0" outline="0" showAll="0">
      <items count="9">
        <item x="6"/>
        <item x="3"/>
        <item x="4"/>
        <item x="2"/>
        <item x="5"/>
        <item x="1"/>
        <item x="7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3"/>
        <item x="0"/>
        <item x="5"/>
        <item x="7"/>
        <item x="2"/>
        <item x="6"/>
        <item x="1"/>
        <item x="4"/>
        <item t="default"/>
      </items>
    </pivotField>
  </pivotFields>
  <rowFields count="1">
    <field x="1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Revenue Per Purchase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B8964-4F4D-4955-AE94-D4E08DC5AF4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8:B37" firstHeaderRow="1" firstDataRow="1" firstDataCol="1"/>
  <pivotFields count="20">
    <pivotField dataField="1"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3"/>
        <item x="0"/>
        <item x="5"/>
        <item x="7"/>
        <item x="2"/>
        <item x="6"/>
        <item x="1"/>
        <item x="4"/>
        <item t="default"/>
      </items>
    </pivotField>
  </pivotFields>
  <rowFields count="1">
    <field x="1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ustomerID" fld="0" subtotal="count" baseField="0" baseItem="0"/>
  </dataField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1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2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DFDD221-BE13-4BCE-BEF5-8EEFA01A022A}" sourceName="Region">
  <pivotTables>
    <pivotTable tabId="14" name="PivotTable1"/>
  </pivotTables>
  <data>
    <tabular pivotCacheId="976478012">
      <items count="8">
        <i x="6" s="1"/>
        <i x="3" s="1"/>
        <i x="4" s="1"/>
        <i x="2" s="1"/>
        <i x="5" s="1"/>
        <i x="1" s="1"/>
        <i x="7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nager_Vlookup" xr10:uid="{5C9AB042-FB13-4055-95D5-70F776B20764}" sourceName="Manager Vlookup">
  <pivotTables>
    <pivotTable tabId="14" name="PivotTable4"/>
  </pivotTables>
  <data>
    <tabular pivotCacheId="1342124392">
      <items count="8">
        <i x="5" s="1"/>
        <i x="6" s="1"/>
        <i x="0" s="1"/>
        <i x="4" s="1"/>
        <i x="7" s="1"/>
        <i x="2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35929372-8593-4092-89AE-EAAF0F1F3B40}" cache="Slicer_Region" caption="Region" rowHeight="228600"/>
  <slicer name="Manager Vlookup" xr10:uid="{CCA13634-8F0C-4BB4-AA8D-BC9DDB31003A}" cache="Slicer_Manager_Vlookup" caption="Manager Vlookup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7D576-6822-48DC-BFC2-B0A6A59AF100}" name="Table1" displayName="Table1" ref="A1:K154" totalsRowShown="0" headerRowDxfId="120" dataDxfId="119">
  <autoFilter ref="A1:K154" xr:uid="{E847D576-6822-48DC-BFC2-B0A6A59AF100}"/>
  <tableColumns count="11">
    <tableColumn id="2" xr3:uid="{507F5331-C97A-4C32-AE2D-AE77DD30DC4F}" name="CustomerID" dataDxfId="118"/>
    <tableColumn id="3" xr3:uid="{88C0D734-DFAC-45C6-832D-57F285D6900A}" name="ProductID" dataDxfId="117"/>
    <tableColumn id="4" xr3:uid="{77EC503D-B772-4684-A0E0-CC99C35F8505}" name="Product Name" dataDxfId="116"/>
    <tableColumn id="5" xr3:uid="{93BC25BF-4CBE-4530-95E9-5B1C6E9968AB}" name="Quantity" dataDxfId="115"/>
    <tableColumn id="6" xr3:uid="{58CFE588-38AE-484C-957C-EF6E8479AF9A}" name="Unit Price" dataDxfId="114"/>
    <tableColumn id="7" xr3:uid="{509A56CC-5257-4CB0-9D5A-CD7EAFB8EF7C}" name="Order Date" dataDxfId="113"/>
    <tableColumn id="8" xr3:uid="{ADE258F1-E7A3-4020-B3D8-3EDDE470D5AB}" name="Delivery Date" dataDxfId="112"/>
    <tableColumn id="9" xr3:uid="{99103945-D530-489F-B67D-CA596CF0C3A1}" name="Region" dataDxfId="111"/>
    <tableColumn id="10" xr3:uid="{1979C707-D196-4FF1-BB25-BD36241CC56D}" name="Status" dataDxfId="110"/>
    <tableColumn id="11" xr3:uid="{1C911C6B-2C70-4C0A-9BF8-8E5469C50452}" name="Sales Rep" dataDxfId="109"/>
    <tableColumn id="12" xr3:uid="{06D55A6F-18DD-4494-85F6-85378607598D}" name="Notes" dataDxfId="108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F483B5-7400-4277-9B13-491F8ABFEF4A}" name="Table3" displayName="Table3" ref="A1:K151" totalsRowShown="0" headerRowDxfId="106">
  <autoFilter ref="A1:K151" xr:uid="{70F483B5-7400-4277-9B13-491F8ABFEF4A}"/>
  <tableColumns count="11">
    <tableColumn id="1" xr3:uid="{72029948-7643-4690-981F-003C58F849E4}" name="CustomerID"/>
    <tableColumn id="2" xr3:uid="{E34074E8-B570-489F-871F-5D1C14A6A115}" name="ProductID"/>
    <tableColumn id="3" xr3:uid="{916C86BB-65A4-4544-860A-CAD56E6AA0C0}" name="Product Name"/>
    <tableColumn id="4" xr3:uid="{B6BA3CE1-6619-44F3-B7AB-42C5E470FE70}" name="Quantity"/>
    <tableColumn id="5" xr3:uid="{F69EDA03-5B19-4470-B94D-FB82797E392B}" name="Unit Price" dataDxfId="105"/>
    <tableColumn id="6" xr3:uid="{48A8C7BD-08EB-41CF-88B2-FA28AEDBA8BE}" name="Order Date" dataDxfId="104"/>
    <tableColumn id="7" xr3:uid="{1E97BA54-BA87-4E06-8154-BA921DF7DAC2}" name="Delivery Date" dataDxfId="103"/>
    <tableColumn id="8" xr3:uid="{87E15D34-A1D5-4CCF-9945-28CA800EA8AF}" name="Region"/>
    <tableColumn id="9" xr3:uid="{EC4CC960-7F6F-46C5-806B-5053764360E4}" name="Status"/>
    <tableColumn id="10" xr3:uid="{94DCA2FB-1B65-4EAC-AC8C-32A58014E6EB}" name="Sales Rep"/>
    <tableColumn id="11" xr3:uid="{D5217D4F-F7EB-408D-9429-5A92210E60F5}" name="Notes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6F6D04-94DB-49A8-A2BD-E2954F54E1D9}" name="Table2" displayName="Table2" ref="A1:I84" totalsRowShown="0" headerRowDxfId="102" dataDxfId="101">
  <autoFilter ref="A1:I84" xr:uid="{2B6F6D04-94DB-49A8-A2BD-E2954F54E1D9}"/>
  <tableColumns count="9">
    <tableColumn id="1" xr3:uid="{8D8FF4E0-4BAF-4590-92BB-C8E4CC28C57B}" name="EmployeeID" dataDxfId="100"/>
    <tableColumn id="2" xr3:uid="{A5A51D2D-05F3-4E1D-B6DC-049F916C4EC3}" name="Full Name" dataDxfId="99"/>
    <tableColumn id="3" xr3:uid="{3281AAA0-1067-4BFE-9DBB-4372C0D0AA6C}" name="Department" dataDxfId="98"/>
    <tableColumn id="4" xr3:uid="{C8C3E485-ED70-40C2-B6D0-F1D17762C2AC}" name="Hire Date" dataDxfId="97"/>
    <tableColumn id="5" xr3:uid="{D50E1CAE-0924-4BBF-8014-56CE41A93D42}" name="Annual Salary" dataDxfId="96"/>
    <tableColumn id="6" xr3:uid="{87DF461E-3769-42DA-8B8B-86FA9791E9BC}" name="Performance Score" dataDxfId="95"/>
    <tableColumn id="7" xr3:uid="{E7DBE02B-9A37-4154-BA79-363091F6802B}" name="Email" dataDxfId="94"/>
    <tableColumn id="8" xr3:uid="{80114E22-D33A-4C3A-9338-129C89F78C4A}" name="Contract Type" dataDxfId="93"/>
    <tableColumn id="9" xr3:uid="{9531A201-76AC-4FED-A8E4-37CD9DDAFF99}" name="Region" dataDxfId="92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A9E2D5-8D00-4EB1-88C9-D32CCAF26CB5}" name="Table6" displayName="Table6" ref="A1:I84" totalsRowShown="0" headerRowDxfId="91" dataDxfId="90">
  <autoFilter ref="A1:I84" xr:uid="{ADA9E2D5-8D00-4EB1-88C9-D32CCAF26CB5}"/>
  <sortState xmlns:xlrd2="http://schemas.microsoft.com/office/spreadsheetml/2017/richdata2" ref="A2:I84">
    <sortCondition ref="A1:A84"/>
  </sortState>
  <tableColumns count="9">
    <tableColumn id="1" xr3:uid="{995ECE83-73C7-4540-9555-8B3E715E278C}" name="EmployeeID" dataDxfId="89"/>
    <tableColumn id="2" xr3:uid="{E31C3CC6-72B8-453C-AF7A-5467FD819183}" name="Full Name" dataDxfId="88"/>
    <tableColumn id="3" xr3:uid="{86CB3641-12B4-45BE-9340-DDAF0BBCB01C}" name="Department" dataDxfId="87"/>
    <tableColumn id="4" xr3:uid="{FCD25D70-04F5-401B-B123-82E32C441DCC}" name="Hire Date" dataDxfId="86"/>
    <tableColumn id="5" xr3:uid="{DB727700-5B74-40B6-BA01-C39105AFC139}" name="Annual Salary" dataDxfId="85"/>
    <tableColumn id="6" xr3:uid="{67D05086-23FD-4972-AA07-21A11162DA3A}" name="Performance Score" dataDxfId="84"/>
    <tableColumn id="7" xr3:uid="{F825CC11-1F09-4255-B6B9-B2D1403FB922}" name="Email" dataDxfId="83"/>
    <tableColumn id="8" xr3:uid="{611746E2-E662-446F-9B6D-A31788202254}" name="Contract Type" dataDxfId="82"/>
    <tableColumn id="9" xr3:uid="{70FE04CA-C412-4BF6-8DCB-3ED65DF89700}" name="Region" dataDxfId="81"/>
  </tableColumns>
  <tableStyleInfo name="TableStyleLight9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611A5C-FA7D-41C6-9D54-26AE2D4FF7C2}" name="Table4" displayName="Table4" ref="A1:F41" totalsRowShown="0" headerRowDxfId="80" dataDxfId="79">
  <autoFilter ref="A1:F41" xr:uid="{49611A5C-FA7D-41C6-9D54-26AE2D4FF7C2}"/>
  <tableColumns count="6">
    <tableColumn id="1" xr3:uid="{085DD4D9-7B64-44A8-A5EB-D40AFC5A515A}" name="ProductID" dataDxfId="78"/>
    <tableColumn id="2" xr3:uid="{8A5D9F33-2D4A-4F40-8733-44431643C39D}" name="Product Name" dataDxfId="77"/>
    <tableColumn id="3" xr3:uid="{F407F790-19B0-4272-8D29-E20B1DD4CBF0}" name="Category" dataDxfId="76"/>
    <tableColumn id="4" xr3:uid="{A17C5A03-1B55-470B-A7CB-ADD6984B79D5}" name="Stock Level" dataDxfId="75"/>
    <tableColumn id="6" xr3:uid="{EF75A5F6-9769-4874-9581-CF060556A551}" name="Reorder Level" dataDxfId="74"/>
    <tableColumn id="7" xr3:uid="{09C4FD9F-1819-4FBB-A6D3-04139F82CC92}" name="Active" dataDxfId="73"/>
  </tableColumns>
  <tableStyleInfo name="TableStyleLight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4AF19E-65EE-4D1B-AAEE-B8F1B0B13639}" name="Table41314" displayName="Table41314" ref="A1:F41" totalsRowShown="0" headerRowDxfId="72" dataDxfId="71">
  <autoFilter ref="A1:F41" xr:uid="{AD4AF19E-65EE-4D1B-AAEE-B8F1B0B13639}"/>
  <tableColumns count="6">
    <tableColumn id="1" xr3:uid="{A084425D-F15F-44F2-A06C-B007EA4E5E2C}" name="ProductID" dataDxfId="70"/>
    <tableColumn id="2" xr3:uid="{628733DD-1813-40EC-B340-2CD8B9B2E857}" name="Product Name" dataDxfId="69"/>
    <tableColumn id="3" xr3:uid="{EAF713D5-8743-4CA9-8408-EA872E99AC82}" name="Category" dataDxfId="68"/>
    <tableColumn id="4" xr3:uid="{ECCD2B82-3AFB-4586-B9F5-C4CFEC2A5ABA}" name="Stock Level" dataDxfId="67"/>
    <tableColumn id="6" xr3:uid="{E55B7F38-77E5-43FE-B344-2767D9EEA1BC}" name="Reorder Level" dataDxfId="66"/>
    <tableColumn id="7" xr3:uid="{1E14E121-0821-4D73-87DF-FB4ADE287EB5}" name="Active" dataDxfId="65"/>
  </tableColumns>
  <tableStyleInfo name="TableStyleLight9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89CFE5-F055-46B8-8CD0-1B776616EC42}" name="Table5" displayName="Table5" ref="A1:G51" totalsRowShown="0" headerRowDxfId="64" dataDxfId="63">
  <autoFilter ref="A1:G51" xr:uid="{8989CFE5-F055-46B8-8CD0-1B776616EC42}"/>
  <tableColumns count="7">
    <tableColumn id="1" xr3:uid="{0F718188-681F-4EA0-ABAD-483AF3F74734}" name="ReturnID" dataDxfId="62"/>
    <tableColumn id="2" xr3:uid="{F0EE09CF-5530-41BE-842A-CA5B384AAAC6}" name="ProductID" dataDxfId="61"/>
    <tableColumn id="3" xr3:uid="{0137B8C5-3954-48A0-9A1D-5BFE5021FEE3}" name="Return Date" dataDxfId="60"/>
    <tableColumn id="4" xr3:uid="{BCC72C45-28EC-4390-AED2-6C477ADF0E76}" name="Reason" dataDxfId="59"/>
    <tableColumn id="5" xr3:uid="{197E9B6D-5591-46CD-A6D3-377F30447B2A}" name="Refund Amount" dataDxfId="58"/>
    <tableColumn id="6" xr3:uid="{CA736171-93E9-418D-81DA-6168A09E574C}" name="Resolved" dataDxfId="57"/>
    <tableColumn id="7" xr3:uid="{C2E7114A-66CB-404C-B134-67B97BA5C7E2}" name="Days to Resolve" dataDxfId="56"/>
  </tableColumns>
  <tableStyleInfo name="TableStyleLight8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6436923-11E8-49EA-85EE-6F75FF6CBC80}" name="Table516" displayName="Table516" ref="A1:G51" totalsRowShown="0" headerRowDxfId="54" dataDxfId="53">
  <autoFilter ref="A1:G51" xr:uid="{B6436923-11E8-49EA-85EE-6F75FF6CBC80}"/>
  <tableColumns count="7">
    <tableColumn id="1" xr3:uid="{28EE23C4-6B2A-4A06-B8BF-8CEA82B3274A}" name="ReturnID" dataDxfId="52"/>
    <tableColumn id="2" xr3:uid="{A04DDAF8-3F21-430A-93F5-F3714FFBF75F}" name="ProductID" dataDxfId="51"/>
    <tableColumn id="3" xr3:uid="{58EE4F21-1AD6-4776-99D9-04D6D2ED244E}" name="Return Date" dataDxfId="50"/>
    <tableColumn id="4" xr3:uid="{D0A5312A-DAED-4FCA-9929-03D34B5CDB8B}" name="Reason" dataDxfId="49"/>
    <tableColumn id="5" xr3:uid="{664FB95B-F19D-456D-A4B2-2A900A50EBF6}" name="Refund Amount" dataDxfId="48"/>
    <tableColumn id="6" xr3:uid="{732E1E3C-16B7-49AF-A391-0EC0F495B38B}" name="Resolved" dataDxfId="47"/>
    <tableColumn id="7" xr3:uid="{1B404F6E-76CD-41DE-99B9-C8636DE42FC5}" name="Days to Resolve" dataDxfId="46"/>
  </tableColumns>
  <tableStyleInfo name="TableStyleLight9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FD0662-2CCF-4B15-9869-EAD1EE16BAD2}" name="Table7" displayName="Table7" ref="A1:F9" totalsRowShown="0" headerRowDxfId="45" dataDxfId="44">
  <autoFilter ref="A1:F9" xr:uid="{9FFD0662-2CCF-4B15-9869-EAD1EE16BAD2}"/>
  <tableColumns count="6">
    <tableColumn id="1" xr3:uid="{CC107523-A165-4F6F-A25A-3669C57264A3}" name="Region Code" dataDxfId="43"/>
    <tableColumn id="2" xr3:uid="{BE643E2A-2788-4FC3-BF35-8FC66A35918A}" name="Full Region Name" dataDxfId="42"/>
    <tableColumn id="3" xr3:uid="{2DDF571B-5D2D-46F2-AA1A-0A9F0345C8CB}" name="Regional Manager" dataDxfId="41"/>
    <tableColumn id="4" xr3:uid="{C488EED0-6370-40F8-9F82-21F05B4A7C66}" name="Sales Target £" dataDxfId="40"/>
    <tableColumn id="5" xr3:uid="{CF73F147-B419-4D00-8398-D84E190EB7E7}" name="Population (m)" dataDxfId="39"/>
    <tableColumn id="6" xr3:uid="{4A62C5DE-8C2E-4CDC-A6AE-DA09CDDFF1F3}" name="Active" dataDxfId="38"/>
  </tableColumns>
  <tableStyleInfo name="TableStyleLight8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8396F3-E190-44F3-849E-5F627743DAB3}" name="Table11" displayName="Table11" ref="I1:U9" totalsRowShown="0" headerRowDxfId="37" dataDxfId="36">
  <autoFilter ref="I1:U9" xr:uid="{208396F3-E190-44F3-849E-5F627743DAB3}"/>
  <tableColumns count="13">
    <tableColumn id="1" xr3:uid="{FE37B386-5E43-43B6-A294-2FA4CE889ACF}" name="Region" dataDxfId="35"/>
    <tableColumn id="2" xr3:uid="{A8277F58-AD44-43D7-9289-4200B66D1286}" name="Jan" dataDxfId="34"/>
    <tableColumn id="3" xr3:uid="{3D2C03F6-1E0E-4AEC-BEB3-564F846F8DDD}" name="Feb" dataDxfId="33"/>
    <tableColumn id="4" xr3:uid="{BEBEE54C-9EE9-4AF0-BDCF-AD439AD11706}" name="Mar" dataDxfId="32"/>
    <tableColumn id="5" xr3:uid="{713EB9F5-B3F9-4EF8-8A75-C38E4905B519}" name="Apr" dataDxfId="31"/>
    <tableColumn id="6" xr3:uid="{99E3F96A-1670-4C0D-B703-50BD29256D54}" name="May" dataDxfId="30"/>
    <tableColumn id="7" xr3:uid="{FAD8E755-5312-43E0-8773-7A0C77FA613F}" name="Jun" dataDxfId="29"/>
    <tableColumn id="8" xr3:uid="{34F8A9E1-9312-4E24-9BD6-F342DAD4C820}" name="Jul" dataDxfId="28"/>
    <tableColumn id="9" xr3:uid="{E16DFCFD-5807-470F-95A1-760B709AE888}" name="Aug" dataDxfId="27"/>
    <tableColumn id="10" xr3:uid="{714D86F4-5B9F-4892-B2E7-F2CE95B15161}" name="Sep" dataDxfId="26"/>
    <tableColumn id="11" xr3:uid="{EEE90E10-9675-478E-AD91-345E6F95E25B}" name="Oct" dataDxfId="25"/>
    <tableColumn id="12" xr3:uid="{2F03DAB3-7BA3-4DB6-BD5F-A64EE60B2859}" name="Nov" dataDxfId="24"/>
    <tableColumn id="13" xr3:uid="{00BA29EE-CF88-41E7-89FB-E8C6D817748B}" name="Dec" dataDxfId="23"/>
  </tableColumns>
  <tableStyleInfo name="TableStyleLight8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F3BEF1E-BB7D-4ADF-9F37-400C8E5EDAC0}" name="Table16" displayName="Table16" ref="A1:G41" totalsRowShown="0" headerRowDxfId="22" dataDxfId="21">
  <autoFilter ref="A1:G41" xr:uid="{1F3BEF1E-BB7D-4ADF-9F37-400C8E5EDAC0}"/>
  <tableColumns count="7">
    <tableColumn id="1" xr3:uid="{67CCFFB0-2DD3-427A-BC97-E1A46B9596CF}" name="ProductID" dataDxfId="20"/>
    <tableColumn id="2" xr3:uid="{8A9851C0-982F-4C63-9912-FB2A4AFBD03F}" name="Product Name" dataDxfId="19"/>
    <tableColumn id="3" xr3:uid="{07B07B46-17D0-4A1E-9EDB-F02837554278}" name="Category" dataDxfId="18"/>
    <tableColumn id="4" xr3:uid="{2243D9D2-BCB3-417C-96E6-060B69EA10ED}" name="Cost Price" dataDxfId="17"/>
    <tableColumn id="5" xr3:uid="{8BFD24DC-0A1A-4534-93B2-2C369B76C1CA}" name="Supplier" dataDxfId="16"/>
    <tableColumn id="6" xr3:uid="{FE2EFC0C-3D21-43EA-916E-44C3E05F2E27}" name="Min Order Qty" dataDxfId="15"/>
    <tableColumn id="7" xr3:uid="{24457753-9D8F-4716-9B55-2A541FF73134}" name="Lead Days" dataDxfId="14"/>
  </tableColumns>
  <tableStyleInfo name="TableStyleLight8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70778D4-CAC7-4B18-A3A6-19E7737819E7}" name="Table17" displayName="Table17" ref="A1:E84" totalsRowShown="0" headerRowDxfId="13" dataDxfId="12">
  <autoFilter ref="A1:E84" xr:uid="{570778D4-CAC7-4B18-A3A6-19E7737819E7}"/>
  <tableColumns count="5">
    <tableColumn id="1" xr3:uid="{60067F8A-241A-4A98-93F7-7AD6324C865C}" name="EmployeeID" dataDxfId="11"/>
    <tableColumn id="2" xr3:uid="{8225B7CE-FEA4-4427-9852-ECB43B4FF731}" name="Department" dataDxfId="10"/>
    <tableColumn id="3" xr3:uid="{97FC8427-D535-4C92-96D3-4372B66EDD6D}" name="Job Grade" dataDxfId="9"/>
    <tableColumn id="4" xr3:uid="{2167017E-B752-4125-B9AE-D99F5C17CFC8}" name="Manager" dataDxfId="8"/>
    <tableColumn id="5" xr3:uid="{6F371DEB-7385-435D-BE01-89AF47A9ECFA}" name="Office Location" dataDxfId="7"/>
  </tableColumns>
  <tableStyleInfo name="TableStyleLight8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DA3BD9D-994A-4B40-8ECA-692ED0F5FEE1}" name="Table18" displayName="Table18" ref="A1:E7" totalsRowShown="0" headerRowDxfId="6" dataDxfId="5">
  <autoFilter ref="A1:E7" xr:uid="{CDA3BD9D-994A-4B40-8ECA-692ED0F5FEE1}"/>
  <tableColumns count="5">
    <tableColumn id="1" xr3:uid="{EA11024C-CB7C-4F28-AC41-70B5C0249005}" name="Min Price" dataDxfId="4"/>
    <tableColumn id="2" xr3:uid="{307DFAF5-4BAE-4A01-B9DB-D33909031CA2}" name="Max Price" dataDxfId="3"/>
    <tableColumn id="3" xr3:uid="{87FB8356-575E-475F-BB7F-04B8ACB97801}" name="Band" dataDxfId="2"/>
    <tableColumn id="4" xr3:uid="{BF92F216-22B4-439A-B74E-72F1DAA9AE1C}" name="Discount %" dataDxfId="1"/>
    <tableColumn id="5" xr3:uid="{F9DB7B3E-F249-417F-B0FF-19EB608F537B}" name="Free Shipping" dataDxfId="0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workbookViewId="0">
      <selection activeCell="G161" sqref="G161"/>
    </sheetView>
  </sheetViews>
  <sheetFormatPr defaultRowHeight="15"/>
  <cols>
    <col min="1" max="1" width="12.5703125" style="5" bestFit="1" customWidth="1"/>
    <col min="2" max="2" width="11.140625" style="5" bestFit="1" customWidth="1"/>
    <col min="3" max="3" width="20.140625" style="5" bestFit="1" customWidth="1"/>
    <col min="4" max="4" width="10.28515625" style="5" bestFit="1" customWidth="1"/>
    <col min="5" max="5" width="11" style="5" bestFit="1" customWidth="1"/>
    <col min="6" max="6" width="12" style="5" bestFit="1" customWidth="1"/>
    <col min="7" max="7" width="13.85546875" style="5" bestFit="1" customWidth="1"/>
    <col min="8" max="8" width="14" style="5" bestFit="1" customWidth="1"/>
    <col min="9" max="9" width="9.140625" style="5" bestFit="1" customWidth="1"/>
    <col min="10" max="10" width="17.85546875" style="5" bestFit="1" customWidth="1"/>
    <col min="11" max="11" width="13.42578125" style="5" bestFit="1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5" t="s">
        <v>11</v>
      </c>
      <c r="B2" s="5" t="s">
        <v>12</v>
      </c>
      <c r="C2" s="5" t="s">
        <v>13</v>
      </c>
      <c r="D2" s="5">
        <v>2</v>
      </c>
      <c r="E2" s="5" t="s">
        <v>14</v>
      </c>
      <c r="F2" s="2">
        <v>45230</v>
      </c>
      <c r="G2" s="2">
        <v>45233</v>
      </c>
      <c r="H2" s="5" t="s">
        <v>15</v>
      </c>
      <c r="I2" s="5" t="s">
        <v>16</v>
      </c>
      <c r="J2" s="5" t="s">
        <v>17</v>
      </c>
      <c r="K2" s="5" t="s">
        <v>18</v>
      </c>
    </row>
    <row r="3" spans="1:11">
      <c r="A3" s="5" t="s">
        <v>19</v>
      </c>
      <c r="B3" s="5" t="s">
        <v>20</v>
      </c>
      <c r="C3" s="5" t="s">
        <v>21</v>
      </c>
      <c r="D3" s="5">
        <v>3</v>
      </c>
      <c r="E3" s="5" t="s">
        <v>22</v>
      </c>
      <c r="F3" s="2">
        <v>45221</v>
      </c>
      <c r="G3" s="2">
        <v>45231</v>
      </c>
      <c r="H3" s="5" t="s">
        <v>23</v>
      </c>
      <c r="I3" s="5" t="s">
        <v>24</v>
      </c>
      <c r="J3" s="5" t="s">
        <v>25</v>
      </c>
      <c r="K3" s="5" t="s">
        <v>26</v>
      </c>
    </row>
    <row r="4" spans="1:11">
      <c r="A4" s="5" t="s">
        <v>27</v>
      </c>
      <c r="B4" s="5" t="s">
        <v>20</v>
      </c>
      <c r="C4" s="5" t="s">
        <v>21</v>
      </c>
      <c r="D4" s="5">
        <v>9</v>
      </c>
      <c r="E4" s="5" t="s">
        <v>28</v>
      </c>
      <c r="F4" s="2">
        <v>45308</v>
      </c>
      <c r="G4" s="2" t="s">
        <v>29</v>
      </c>
      <c r="H4" s="5" t="s">
        <v>30</v>
      </c>
      <c r="I4" s="5" t="s">
        <v>31</v>
      </c>
      <c r="J4" s="5" t="s">
        <v>32</v>
      </c>
      <c r="K4" s="5" t="s">
        <v>33</v>
      </c>
    </row>
    <row r="5" spans="1:11">
      <c r="A5" s="5" t="s">
        <v>34</v>
      </c>
      <c r="B5" s="5" t="s">
        <v>35</v>
      </c>
      <c r="C5" s="5" t="s">
        <v>36</v>
      </c>
      <c r="D5" s="5">
        <v>7</v>
      </c>
      <c r="E5" s="5" t="s">
        <v>37</v>
      </c>
      <c r="F5" s="2" t="s">
        <v>38</v>
      </c>
      <c r="G5" s="1" t="s">
        <v>39</v>
      </c>
      <c r="H5" s="5" t="s">
        <v>40</v>
      </c>
      <c r="I5" s="5" t="s">
        <v>24</v>
      </c>
      <c r="J5" s="5" t="s">
        <v>41</v>
      </c>
      <c r="K5" s="5" t="s">
        <v>26</v>
      </c>
    </row>
    <row r="6" spans="1:11">
      <c r="A6" s="5" t="s">
        <v>42</v>
      </c>
      <c r="B6" s="5" t="s">
        <v>43</v>
      </c>
      <c r="C6" s="5" t="s">
        <v>44</v>
      </c>
      <c r="D6" s="5">
        <v>3</v>
      </c>
      <c r="E6" s="5" t="s">
        <v>45</v>
      </c>
      <c r="F6" s="2">
        <v>45377</v>
      </c>
      <c r="G6" s="2">
        <v>45384</v>
      </c>
      <c r="H6" s="5" t="s">
        <v>30</v>
      </c>
      <c r="I6" s="5" t="s">
        <v>46</v>
      </c>
      <c r="J6" s="5" t="s">
        <v>47</v>
      </c>
      <c r="K6" s="5" t="s">
        <v>48</v>
      </c>
    </row>
    <row r="7" spans="1:11">
      <c r="A7" s="5" t="s">
        <v>49</v>
      </c>
      <c r="B7" s="5" t="s">
        <v>50</v>
      </c>
      <c r="C7" s="5" t="s">
        <v>51</v>
      </c>
      <c r="D7" s="5">
        <v>7</v>
      </c>
      <c r="E7" s="5" t="s">
        <v>52</v>
      </c>
      <c r="F7" s="2">
        <v>45345</v>
      </c>
      <c r="G7" s="2">
        <v>45356</v>
      </c>
      <c r="H7" s="5" t="s">
        <v>53</v>
      </c>
      <c r="I7" s="5" t="s">
        <v>16</v>
      </c>
      <c r="J7" s="5" t="s">
        <v>54</v>
      </c>
    </row>
    <row r="8" spans="1:11">
      <c r="A8" s="5" t="s">
        <v>55</v>
      </c>
      <c r="B8" s="5" t="s">
        <v>56</v>
      </c>
      <c r="C8" s="5" t="s">
        <v>57</v>
      </c>
      <c r="D8" s="5">
        <v>9</v>
      </c>
      <c r="E8" s="5" t="s">
        <v>58</v>
      </c>
      <c r="F8" s="2">
        <v>45137</v>
      </c>
      <c r="G8" s="2">
        <v>45149</v>
      </c>
      <c r="H8" s="5" t="s">
        <v>59</v>
      </c>
      <c r="I8" s="5" t="s">
        <v>31</v>
      </c>
      <c r="J8" s="5" t="s">
        <v>60</v>
      </c>
      <c r="K8" s="5" t="s">
        <v>18</v>
      </c>
    </row>
    <row r="9" spans="1:11">
      <c r="A9" s="5" t="s">
        <v>61</v>
      </c>
      <c r="B9" s="5" t="s">
        <v>62</v>
      </c>
      <c r="C9" s="5" t="s">
        <v>63</v>
      </c>
      <c r="D9" s="5">
        <v>1</v>
      </c>
      <c r="E9" s="5" t="s">
        <v>64</v>
      </c>
      <c r="F9" s="2">
        <v>45229</v>
      </c>
      <c r="G9" s="2">
        <v>45242</v>
      </c>
      <c r="H9" s="5" t="s">
        <v>65</v>
      </c>
      <c r="I9" s="5" t="s">
        <v>31</v>
      </c>
      <c r="J9" s="5" t="s">
        <v>66</v>
      </c>
    </row>
    <row r="10" spans="1:11">
      <c r="A10" s="5" t="s">
        <v>67</v>
      </c>
      <c r="B10" s="5" t="s">
        <v>68</v>
      </c>
      <c r="C10" s="5" t="s">
        <v>69</v>
      </c>
      <c r="D10" s="5">
        <v>7</v>
      </c>
      <c r="E10" s="5" t="s">
        <v>70</v>
      </c>
      <c r="F10" s="2">
        <v>45295</v>
      </c>
      <c r="G10" s="2">
        <v>45299</v>
      </c>
      <c r="H10" s="5" t="s">
        <v>71</v>
      </c>
      <c r="I10" s="5" t="s">
        <v>31</v>
      </c>
      <c r="J10" s="5" t="s">
        <v>72</v>
      </c>
    </row>
    <row r="11" spans="1:11">
      <c r="A11" s="5" t="s">
        <v>73</v>
      </c>
      <c r="B11" s="5" t="s">
        <v>35</v>
      </c>
      <c r="C11" s="5" t="s">
        <v>36</v>
      </c>
      <c r="D11" s="5">
        <v>8</v>
      </c>
      <c r="E11" s="5" t="s">
        <v>74</v>
      </c>
      <c r="F11" s="2">
        <v>45264</v>
      </c>
      <c r="G11" s="2" t="s">
        <v>75</v>
      </c>
      <c r="H11" s="5" t="s">
        <v>76</v>
      </c>
      <c r="I11" s="5" t="s">
        <v>46</v>
      </c>
      <c r="J11" s="5" t="s">
        <v>77</v>
      </c>
      <c r="K11" s="5" t="s">
        <v>18</v>
      </c>
    </row>
    <row r="12" spans="1:11">
      <c r="A12" s="5" t="s">
        <v>78</v>
      </c>
      <c r="B12" s="5" t="s">
        <v>79</v>
      </c>
      <c r="C12" s="5" t="s">
        <v>80</v>
      </c>
      <c r="D12" s="5">
        <v>1</v>
      </c>
      <c r="E12" s="5" t="s">
        <v>81</v>
      </c>
      <c r="F12" s="3" t="s">
        <v>82</v>
      </c>
      <c r="G12" s="3">
        <v>45281</v>
      </c>
      <c r="H12" s="5" t="s">
        <v>83</v>
      </c>
      <c r="I12" s="5" t="s">
        <v>24</v>
      </c>
      <c r="J12" s="5" t="s">
        <v>84</v>
      </c>
      <c r="K12" s="5" t="s">
        <v>48</v>
      </c>
    </row>
    <row r="13" spans="1:11">
      <c r="A13" s="5" t="s">
        <v>85</v>
      </c>
      <c r="B13" s="5" t="s">
        <v>56</v>
      </c>
      <c r="C13" s="5" t="s">
        <v>57</v>
      </c>
      <c r="D13" s="5">
        <v>5</v>
      </c>
      <c r="E13" s="5" t="s">
        <v>86</v>
      </c>
      <c r="F13" s="3">
        <v>44999</v>
      </c>
      <c r="G13" s="3">
        <v>45003</v>
      </c>
      <c r="H13" s="5" t="s">
        <v>87</v>
      </c>
      <c r="I13" s="5" t="s">
        <v>16</v>
      </c>
      <c r="J13" s="5" t="s">
        <v>88</v>
      </c>
    </row>
    <row r="14" spans="1:11">
      <c r="A14" s="5" t="s">
        <v>73</v>
      </c>
      <c r="B14" s="5" t="s">
        <v>89</v>
      </c>
      <c r="C14" s="5" t="s">
        <v>90</v>
      </c>
      <c r="D14" s="5">
        <v>1</v>
      </c>
      <c r="E14" s="5" t="s">
        <v>91</v>
      </c>
      <c r="F14" s="2">
        <v>45097</v>
      </c>
      <c r="G14" s="1" t="s">
        <v>92</v>
      </c>
      <c r="H14" s="5" t="s">
        <v>87</v>
      </c>
      <c r="I14" s="5" t="s">
        <v>46</v>
      </c>
      <c r="J14" s="5" t="s">
        <v>93</v>
      </c>
      <c r="K14" s="5" t="s">
        <v>18</v>
      </c>
    </row>
    <row r="15" spans="1:11">
      <c r="A15" s="5" t="s">
        <v>94</v>
      </c>
      <c r="B15" s="5" t="s">
        <v>95</v>
      </c>
      <c r="C15" s="5" t="s">
        <v>96</v>
      </c>
      <c r="D15" s="5">
        <v>3</v>
      </c>
      <c r="E15" s="5" t="s">
        <v>97</v>
      </c>
      <c r="F15" s="2">
        <v>44939</v>
      </c>
      <c r="G15" s="2">
        <v>44946</v>
      </c>
      <c r="H15" s="5" t="s">
        <v>98</v>
      </c>
      <c r="I15" s="5" t="s">
        <v>16</v>
      </c>
      <c r="J15" s="5" t="s">
        <v>99</v>
      </c>
    </row>
    <row r="16" spans="1:11">
      <c r="A16" s="5" t="s">
        <v>100</v>
      </c>
      <c r="B16" s="5" t="s">
        <v>101</v>
      </c>
      <c r="C16" s="5" t="s">
        <v>102</v>
      </c>
      <c r="D16" s="5">
        <v>10</v>
      </c>
      <c r="E16" s="5" t="s">
        <v>103</v>
      </c>
      <c r="F16" s="2">
        <v>44947</v>
      </c>
      <c r="G16" s="2">
        <v>44950</v>
      </c>
      <c r="H16" s="5" t="s">
        <v>76</v>
      </c>
      <c r="I16" s="5" t="s">
        <v>16</v>
      </c>
      <c r="J16" s="5" t="s">
        <v>104</v>
      </c>
    </row>
    <row r="17" spans="1:11">
      <c r="A17" s="5" t="s">
        <v>105</v>
      </c>
      <c r="B17" s="5" t="s">
        <v>106</v>
      </c>
      <c r="C17" s="5" t="s">
        <v>107</v>
      </c>
      <c r="D17" s="5">
        <v>1</v>
      </c>
      <c r="E17" s="5" t="s">
        <v>108</v>
      </c>
      <c r="F17" s="3">
        <v>45251</v>
      </c>
      <c r="G17" s="2" t="s">
        <v>109</v>
      </c>
      <c r="H17" s="5" t="s">
        <v>110</v>
      </c>
      <c r="I17" s="5" t="s">
        <v>111</v>
      </c>
      <c r="J17" s="5" t="s">
        <v>112</v>
      </c>
    </row>
    <row r="18" spans="1:11">
      <c r="A18" s="5" t="s">
        <v>34</v>
      </c>
      <c r="B18" s="5" t="s">
        <v>113</v>
      </c>
      <c r="C18" s="5" t="s">
        <v>114</v>
      </c>
      <c r="D18" s="5">
        <v>7</v>
      </c>
      <c r="E18" s="5" t="s">
        <v>115</v>
      </c>
      <c r="F18" s="3">
        <v>45105</v>
      </c>
      <c r="G18" s="2">
        <v>45112</v>
      </c>
      <c r="H18" s="5" t="s">
        <v>116</v>
      </c>
      <c r="I18" s="5" t="s">
        <v>111</v>
      </c>
      <c r="J18" s="5" t="s">
        <v>117</v>
      </c>
      <c r="K18" s="5" t="s">
        <v>26</v>
      </c>
    </row>
    <row r="19" spans="1:11">
      <c r="A19" s="5" t="s">
        <v>118</v>
      </c>
      <c r="B19" s="5" t="s">
        <v>119</v>
      </c>
      <c r="C19" s="5" t="s">
        <v>120</v>
      </c>
      <c r="D19" s="5">
        <v>4</v>
      </c>
      <c r="E19" s="5" t="s">
        <v>121</v>
      </c>
      <c r="F19" s="2">
        <v>45234</v>
      </c>
      <c r="G19" s="2">
        <v>45239</v>
      </c>
      <c r="H19" s="5" t="s">
        <v>122</v>
      </c>
      <c r="I19" s="5" t="s">
        <v>46</v>
      </c>
      <c r="J19" s="5" t="s">
        <v>123</v>
      </c>
      <c r="K19" s="5" t="s">
        <v>26</v>
      </c>
    </row>
    <row r="20" spans="1:11">
      <c r="A20" s="5" t="s">
        <v>124</v>
      </c>
      <c r="B20" s="5" t="s">
        <v>56</v>
      </c>
      <c r="C20" s="5" t="s">
        <v>57</v>
      </c>
      <c r="D20" s="5">
        <v>10</v>
      </c>
      <c r="E20" s="5" t="s">
        <v>125</v>
      </c>
      <c r="F20" s="2" t="s">
        <v>126</v>
      </c>
      <c r="G20" s="2">
        <v>45072</v>
      </c>
      <c r="H20" s="5" t="s">
        <v>23</v>
      </c>
      <c r="I20" s="5" t="s">
        <v>31</v>
      </c>
      <c r="J20" s="5" t="s">
        <v>127</v>
      </c>
      <c r="K20" s="5" t="s">
        <v>48</v>
      </c>
    </row>
    <row r="21" spans="1:11">
      <c r="A21" s="5" t="s">
        <v>128</v>
      </c>
      <c r="B21" s="5" t="s">
        <v>43</v>
      </c>
      <c r="C21" s="5" t="s">
        <v>44</v>
      </c>
      <c r="D21" s="5">
        <v>4</v>
      </c>
      <c r="E21" s="5" t="s">
        <v>129</v>
      </c>
      <c r="F21" s="2">
        <v>45064</v>
      </c>
      <c r="G21" s="3">
        <v>45076</v>
      </c>
      <c r="H21" s="5" t="s">
        <v>87</v>
      </c>
      <c r="I21" s="5" t="s">
        <v>31</v>
      </c>
      <c r="J21" s="5" t="s">
        <v>130</v>
      </c>
    </row>
    <row r="22" spans="1:11">
      <c r="A22" s="5" t="s">
        <v>131</v>
      </c>
      <c r="B22" s="5" t="s">
        <v>35</v>
      </c>
      <c r="C22" s="5" t="s">
        <v>36</v>
      </c>
      <c r="D22" s="5">
        <v>9</v>
      </c>
      <c r="E22" s="5" t="s">
        <v>132</v>
      </c>
      <c r="F22" s="3">
        <v>45331</v>
      </c>
      <c r="G22" s="1" t="s">
        <v>133</v>
      </c>
      <c r="H22" s="5" t="s">
        <v>30</v>
      </c>
      <c r="I22" s="5" t="s">
        <v>111</v>
      </c>
      <c r="J22" s="5" t="s">
        <v>134</v>
      </c>
    </row>
    <row r="23" spans="1:11">
      <c r="A23" s="5" t="s">
        <v>135</v>
      </c>
      <c r="B23" s="5" t="s">
        <v>119</v>
      </c>
      <c r="C23" s="5" t="s">
        <v>120</v>
      </c>
      <c r="D23" s="5">
        <v>1</v>
      </c>
      <c r="E23" s="5" t="s">
        <v>136</v>
      </c>
      <c r="F23" s="1" t="s">
        <v>137</v>
      </c>
      <c r="G23" s="3">
        <v>45132</v>
      </c>
      <c r="H23" s="5" t="s">
        <v>87</v>
      </c>
      <c r="I23" s="5" t="s">
        <v>111</v>
      </c>
      <c r="J23" s="5" t="s">
        <v>138</v>
      </c>
      <c r="K23" s="5" t="s">
        <v>18</v>
      </c>
    </row>
    <row r="24" spans="1:11">
      <c r="A24" s="5" t="s">
        <v>139</v>
      </c>
      <c r="B24" s="5" t="s">
        <v>20</v>
      </c>
      <c r="C24" s="5" t="s">
        <v>21</v>
      </c>
      <c r="D24" s="5">
        <v>2</v>
      </c>
      <c r="E24" s="5" t="s">
        <v>140</v>
      </c>
      <c r="F24" s="2">
        <v>45072</v>
      </c>
      <c r="G24" s="2">
        <v>45081</v>
      </c>
      <c r="H24" s="5" t="s">
        <v>98</v>
      </c>
      <c r="I24" s="5" t="s">
        <v>46</v>
      </c>
      <c r="J24" s="5" t="s">
        <v>141</v>
      </c>
    </row>
    <row r="25" spans="1:11">
      <c r="A25" s="5" t="s">
        <v>142</v>
      </c>
      <c r="B25" s="5" t="s">
        <v>143</v>
      </c>
      <c r="C25" s="5" t="s">
        <v>144</v>
      </c>
      <c r="D25" s="5">
        <v>1</v>
      </c>
      <c r="E25" s="5" t="s">
        <v>145</v>
      </c>
      <c r="F25" s="3">
        <v>45311</v>
      </c>
      <c r="G25" s="2">
        <v>45320</v>
      </c>
      <c r="H25" s="5" t="s">
        <v>146</v>
      </c>
      <c r="I25" s="5" t="s">
        <v>46</v>
      </c>
      <c r="J25" s="5" t="s">
        <v>147</v>
      </c>
      <c r="K25" s="5" t="s">
        <v>33</v>
      </c>
    </row>
    <row r="26" spans="1:11">
      <c r="A26" s="5" t="s">
        <v>34</v>
      </c>
      <c r="B26" s="5" t="s">
        <v>106</v>
      </c>
      <c r="C26" s="5" t="s">
        <v>107</v>
      </c>
      <c r="D26" s="5">
        <v>1</v>
      </c>
      <c r="E26" s="5" t="s">
        <v>148</v>
      </c>
      <c r="F26" s="3">
        <v>45009</v>
      </c>
      <c r="G26" s="2">
        <v>45017</v>
      </c>
      <c r="H26" s="5" t="s">
        <v>149</v>
      </c>
      <c r="I26" s="5" t="s">
        <v>111</v>
      </c>
      <c r="J26" s="5" t="s">
        <v>150</v>
      </c>
      <c r="K26" s="5" t="s">
        <v>18</v>
      </c>
    </row>
    <row r="27" spans="1:11">
      <c r="A27" s="5" t="s">
        <v>124</v>
      </c>
      <c r="B27" s="5" t="s">
        <v>62</v>
      </c>
      <c r="C27" s="5" t="s">
        <v>63</v>
      </c>
      <c r="D27" s="5">
        <v>4</v>
      </c>
      <c r="E27" s="5" t="s">
        <v>151</v>
      </c>
      <c r="F27" s="2">
        <v>45031</v>
      </c>
      <c r="G27" s="3">
        <v>45036</v>
      </c>
      <c r="H27" s="5" t="s">
        <v>116</v>
      </c>
      <c r="I27" s="5" t="s">
        <v>24</v>
      </c>
      <c r="J27" s="5" t="s">
        <v>152</v>
      </c>
    </row>
    <row r="28" spans="1:11">
      <c r="A28" s="5" t="s">
        <v>124</v>
      </c>
      <c r="B28" s="5" t="s">
        <v>143</v>
      </c>
      <c r="C28" s="5" t="s">
        <v>144</v>
      </c>
      <c r="D28" s="5">
        <v>2</v>
      </c>
      <c r="E28" s="5" t="s">
        <v>153</v>
      </c>
      <c r="F28" s="2">
        <v>45433</v>
      </c>
      <c r="G28" s="2">
        <v>45440</v>
      </c>
      <c r="H28" s="5" t="s">
        <v>154</v>
      </c>
      <c r="I28" s="5" t="s">
        <v>111</v>
      </c>
      <c r="J28" s="5" t="s">
        <v>155</v>
      </c>
      <c r="K28" s="5" t="s">
        <v>18</v>
      </c>
    </row>
    <row r="29" spans="1:11">
      <c r="A29" s="5" t="s">
        <v>94</v>
      </c>
      <c r="B29" s="5" t="s">
        <v>156</v>
      </c>
      <c r="C29" s="5" t="s">
        <v>157</v>
      </c>
      <c r="D29" s="5">
        <v>6</v>
      </c>
      <c r="E29" s="5" t="s">
        <v>158</v>
      </c>
      <c r="F29" s="3">
        <v>44947</v>
      </c>
      <c r="G29" s="2">
        <v>44957</v>
      </c>
      <c r="H29" s="5" t="s">
        <v>159</v>
      </c>
      <c r="I29" s="5" t="s">
        <v>31</v>
      </c>
      <c r="J29" s="5" t="s">
        <v>160</v>
      </c>
    </row>
    <row r="30" spans="1:11">
      <c r="A30" s="5" t="s">
        <v>161</v>
      </c>
      <c r="B30" s="5" t="s">
        <v>101</v>
      </c>
      <c r="C30" s="5" t="s">
        <v>102</v>
      </c>
      <c r="D30" s="5">
        <v>4</v>
      </c>
      <c r="E30" s="5" t="s">
        <v>162</v>
      </c>
      <c r="F30" s="2">
        <v>44940</v>
      </c>
      <c r="G30" s="3">
        <v>44954</v>
      </c>
      <c r="H30" s="5" t="s">
        <v>15</v>
      </c>
      <c r="I30" s="5" t="s">
        <v>111</v>
      </c>
      <c r="J30" s="5" t="s">
        <v>163</v>
      </c>
      <c r="K30" s="5" t="s">
        <v>18</v>
      </c>
    </row>
    <row r="31" spans="1:11">
      <c r="A31" s="5" t="s">
        <v>34</v>
      </c>
      <c r="B31" s="5" t="s">
        <v>12</v>
      </c>
      <c r="C31" s="5" t="s">
        <v>13</v>
      </c>
      <c r="D31" s="5">
        <v>7</v>
      </c>
      <c r="E31" s="5" t="s">
        <v>164</v>
      </c>
      <c r="F31" s="3">
        <v>45202</v>
      </c>
      <c r="G31" s="2">
        <v>45207</v>
      </c>
      <c r="H31" s="5" t="s">
        <v>87</v>
      </c>
      <c r="I31" s="5" t="s">
        <v>46</v>
      </c>
      <c r="J31" s="5" t="s">
        <v>165</v>
      </c>
      <c r="K31" s="5" t="s">
        <v>18</v>
      </c>
    </row>
    <row r="32" spans="1:11">
      <c r="A32" s="5" t="s">
        <v>166</v>
      </c>
      <c r="B32" s="5" t="s">
        <v>167</v>
      </c>
      <c r="C32" s="5" t="s">
        <v>168</v>
      </c>
      <c r="D32" s="5">
        <v>5</v>
      </c>
      <c r="E32" s="5" t="s">
        <v>169</v>
      </c>
      <c r="F32" s="3">
        <v>45440</v>
      </c>
      <c r="G32" s="2">
        <v>45454</v>
      </c>
      <c r="H32" s="5" t="s">
        <v>40</v>
      </c>
      <c r="I32" s="5" t="s">
        <v>31</v>
      </c>
      <c r="J32" s="5" t="s">
        <v>170</v>
      </c>
      <c r="K32" s="5" t="s">
        <v>48</v>
      </c>
    </row>
    <row r="33" spans="1:11">
      <c r="A33" s="5" t="s">
        <v>171</v>
      </c>
      <c r="B33" s="5" t="s">
        <v>167</v>
      </c>
      <c r="C33" s="5" t="s">
        <v>168</v>
      </c>
      <c r="D33" s="5">
        <v>9</v>
      </c>
      <c r="E33" s="5" t="s">
        <v>172</v>
      </c>
      <c r="F33" s="2">
        <v>45455</v>
      </c>
      <c r="G33" s="3">
        <v>45459</v>
      </c>
      <c r="H33" s="5" t="s">
        <v>122</v>
      </c>
      <c r="I33" s="5" t="s">
        <v>16</v>
      </c>
      <c r="J33" s="5" t="s">
        <v>173</v>
      </c>
    </row>
    <row r="34" spans="1:11">
      <c r="A34" s="5" t="s">
        <v>128</v>
      </c>
      <c r="B34" s="5" t="s">
        <v>89</v>
      </c>
      <c r="C34" s="5" t="s">
        <v>90</v>
      </c>
      <c r="D34" s="5">
        <v>7</v>
      </c>
      <c r="E34" s="5" t="s">
        <v>174</v>
      </c>
      <c r="F34" s="2">
        <v>44931</v>
      </c>
      <c r="G34" s="1" t="s">
        <v>175</v>
      </c>
      <c r="H34" s="5" t="s">
        <v>30</v>
      </c>
      <c r="I34" s="5" t="s">
        <v>31</v>
      </c>
      <c r="J34" s="5" t="s">
        <v>176</v>
      </c>
      <c r="K34" s="5" t="s">
        <v>18</v>
      </c>
    </row>
    <row r="35" spans="1:11">
      <c r="A35" s="5" t="s">
        <v>27</v>
      </c>
      <c r="B35" s="5" t="s">
        <v>177</v>
      </c>
      <c r="C35" s="5" t="s">
        <v>178</v>
      </c>
      <c r="D35" s="5">
        <v>4</v>
      </c>
      <c r="E35" s="5" t="s">
        <v>179</v>
      </c>
      <c r="F35" s="2">
        <v>45258</v>
      </c>
      <c r="G35" s="2">
        <v>45272</v>
      </c>
      <c r="H35" s="5" t="s">
        <v>180</v>
      </c>
      <c r="I35" s="5" t="s">
        <v>111</v>
      </c>
      <c r="J35" s="5" t="s">
        <v>181</v>
      </c>
      <c r="K35" s="5" t="s">
        <v>18</v>
      </c>
    </row>
    <row r="36" spans="1:11">
      <c r="A36" s="5" t="s">
        <v>73</v>
      </c>
      <c r="B36" s="5" t="s">
        <v>43</v>
      </c>
      <c r="C36" s="5" t="s">
        <v>44</v>
      </c>
      <c r="D36" s="5">
        <v>6</v>
      </c>
      <c r="E36" s="5" t="s">
        <v>182</v>
      </c>
      <c r="F36" s="2">
        <v>44971</v>
      </c>
      <c r="G36" s="3">
        <v>44983</v>
      </c>
      <c r="H36" s="5" t="s">
        <v>116</v>
      </c>
      <c r="I36" s="5" t="s">
        <v>16</v>
      </c>
      <c r="J36" s="5" t="s">
        <v>183</v>
      </c>
    </row>
    <row r="37" spans="1:11">
      <c r="A37" s="5" t="s">
        <v>184</v>
      </c>
      <c r="B37" s="5" t="s">
        <v>185</v>
      </c>
      <c r="C37" s="5" t="s">
        <v>186</v>
      </c>
      <c r="D37" s="5">
        <v>9</v>
      </c>
      <c r="E37" s="5" t="s">
        <v>187</v>
      </c>
      <c r="F37" s="2" t="s">
        <v>188</v>
      </c>
      <c r="G37" s="3">
        <v>45242</v>
      </c>
      <c r="H37" s="5" t="s">
        <v>23</v>
      </c>
      <c r="I37" s="5" t="s">
        <v>31</v>
      </c>
      <c r="J37" s="5" t="s">
        <v>189</v>
      </c>
    </row>
    <row r="38" spans="1:11">
      <c r="A38" s="5" t="s">
        <v>55</v>
      </c>
      <c r="B38" s="5" t="s">
        <v>177</v>
      </c>
      <c r="C38" s="5" t="s">
        <v>178</v>
      </c>
      <c r="D38" s="5">
        <v>5</v>
      </c>
      <c r="E38" s="5" t="s">
        <v>190</v>
      </c>
      <c r="F38" s="2">
        <v>45263</v>
      </c>
      <c r="G38" s="3" t="s">
        <v>191</v>
      </c>
      <c r="H38" s="5" t="s">
        <v>192</v>
      </c>
      <c r="I38" s="5" t="s">
        <v>111</v>
      </c>
      <c r="J38" s="5" t="s">
        <v>193</v>
      </c>
    </row>
    <row r="39" spans="1:11">
      <c r="A39" s="5" t="s">
        <v>194</v>
      </c>
      <c r="B39" s="5" t="s">
        <v>89</v>
      </c>
      <c r="C39" s="5" t="s">
        <v>90</v>
      </c>
      <c r="D39" s="5">
        <v>8</v>
      </c>
      <c r="E39" s="5" t="s">
        <v>195</v>
      </c>
      <c r="F39" s="2">
        <v>45315</v>
      </c>
      <c r="G39" s="2">
        <v>45325</v>
      </c>
      <c r="H39" s="5" t="s">
        <v>192</v>
      </c>
      <c r="I39" s="5" t="s">
        <v>31</v>
      </c>
      <c r="J39" s="5" t="s">
        <v>196</v>
      </c>
    </row>
    <row r="40" spans="1:11">
      <c r="A40" s="5" t="s">
        <v>55</v>
      </c>
      <c r="B40" s="5" t="s">
        <v>197</v>
      </c>
      <c r="C40" s="5" t="s">
        <v>198</v>
      </c>
      <c r="D40" s="5">
        <v>1</v>
      </c>
      <c r="E40" s="5" t="s">
        <v>199</v>
      </c>
      <c r="F40" s="3">
        <v>45169</v>
      </c>
      <c r="G40" s="3">
        <v>45171</v>
      </c>
      <c r="H40" s="5" t="s">
        <v>40</v>
      </c>
      <c r="J40" s="5" t="s">
        <v>200</v>
      </c>
      <c r="K40" s="5" t="s">
        <v>18</v>
      </c>
    </row>
    <row r="41" spans="1:11">
      <c r="A41" s="5" t="s">
        <v>184</v>
      </c>
      <c r="B41" s="5" t="s">
        <v>201</v>
      </c>
      <c r="C41" s="5" t="s">
        <v>202</v>
      </c>
      <c r="D41" s="5">
        <v>9</v>
      </c>
      <c r="E41" s="5" t="s">
        <v>203</v>
      </c>
      <c r="F41" s="3">
        <v>45348</v>
      </c>
      <c r="G41" s="3">
        <v>45357</v>
      </c>
      <c r="H41" s="5" t="s">
        <v>40</v>
      </c>
      <c r="I41" s="5" t="s">
        <v>24</v>
      </c>
      <c r="J41" s="5" t="s">
        <v>204</v>
      </c>
      <c r="K41" s="5" t="s">
        <v>33</v>
      </c>
    </row>
    <row r="42" spans="1:11">
      <c r="A42" s="5" t="s">
        <v>67</v>
      </c>
      <c r="B42" s="5" t="s">
        <v>156</v>
      </c>
      <c r="C42" s="5" t="s">
        <v>157</v>
      </c>
      <c r="D42" s="5">
        <v>4</v>
      </c>
      <c r="E42" s="5" t="s">
        <v>205</v>
      </c>
      <c r="F42" s="1" t="s">
        <v>206</v>
      </c>
      <c r="G42" s="3">
        <v>45442</v>
      </c>
      <c r="H42" s="5" t="s">
        <v>207</v>
      </c>
      <c r="I42" s="5" t="s">
        <v>24</v>
      </c>
      <c r="J42" s="5" t="s">
        <v>208</v>
      </c>
    </row>
    <row r="43" spans="1:11">
      <c r="A43" s="5" t="s">
        <v>209</v>
      </c>
      <c r="B43" s="5" t="s">
        <v>210</v>
      </c>
      <c r="C43" s="5" t="s">
        <v>211</v>
      </c>
      <c r="D43" s="5">
        <v>1</v>
      </c>
      <c r="E43" s="5" t="s">
        <v>212</v>
      </c>
      <c r="F43" s="2">
        <v>44942</v>
      </c>
      <c r="G43" s="3" t="s">
        <v>213</v>
      </c>
      <c r="H43" s="5" t="s">
        <v>71</v>
      </c>
      <c r="I43" s="5" t="s">
        <v>46</v>
      </c>
      <c r="J43" s="5" t="s">
        <v>214</v>
      </c>
      <c r="K43" s="5" t="s">
        <v>48</v>
      </c>
    </row>
    <row r="44" spans="1:11">
      <c r="A44" s="5" t="s">
        <v>194</v>
      </c>
      <c r="B44" s="5" t="s">
        <v>215</v>
      </c>
      <c r="C44" s="5" t="s">
        <v>216</v>
      </c>
      <c r="D44" s="5">
        <v>3</v>
      </c>
      <c r="E44" s="5" t="s">
        <v>217</v>
      </c>
      <c r="F44" s="2">
        <v>45395</v>
      </c>
      <c r="G44" s="3">
        <v>45409</v>
      </c>
      <c r="H44" s="5" t="s">
        <v>53</v>
      </c>
      <c r="I44" s="5" t="s">
        <v>111</v>
      </c>
      <c r="J44" s="5" t="s">
        <v>218</v>
      </c>
      <c r="K44" s="5" t="s">
        <v>26</v>
      </c>
    </row>
    <row r="45" spans="1:11">
      <c r="A45" s="5" t="s">
        <v>34</v>
      </c>
      <c r="B45" s="5" t="s">
        <v>156</v>
      </c>
      <c r="C45" s="5" t="s">
        <v>157</v>
      </c>
      <c r="D45" s="5">
        <v>3</v>
      </c>
      <c r="E45" s="5" t="s">
        <v>219</v>
      </c>
      <c r="F45" s="2">
        <v>45080</v>
      </c>
      <c r="G45" s="2">
        <v>45093</v>
      </c>
      <c r="H45" s="5" t="s">
        <v>23</v>
      </c>
      <c r="I45" s="5" t="s">
        <v>24</v>
      </c>
      <c r="J45" s="5" t="s">
        <v>220</v>
      </c>
    </row>
    <row r="46" spans="1:11">
      <c r="A46" s="5" t="s">
        <v>221</v>
      </c>
      <c r="B46" s="5" t="s">
        <v>89</v>
      </c>
      <c r="C46" s="5" t="s">
        <v>90</v>
      </c>
      <c r="D46" s="5">
        <v>7</v>
      </c>
      <c r="E46" s="5" t="s">
        <v>222</v>
      </c>
      <c r="F46" s="2">
        <v>45237</v>
      </c>
      <c r="G46" s="3">
        <v>45238</v>
      </c>
      <c r="H46" s="5" t="s">
        <v>223</v>
      </c>
      <c r="I46" s="5" t="s">
        <v>111</v>
      </c>
    </row>
    <row r="47" spans="1:11">
      <c r="A47" s="5" t="s">
        <v>224</v>
      </c>
      <c r="B47" s="5" t="s">
        <v>50</v>
      </c>
      <c r="C47" s="5" t="s">
        <v>51</v>
      </c>
      <c r="D47" s="5">
        <v>6</v>
      </c>
      <c r="E47" s="5" t="s">
        <v>225</v>
      </c>
      <c r="F47" s="2">
        <v>45092</v>
      </c>
      <c r="G47" s="2">
        <v>45098</v>
      </c>
      <c r="H47" s="5" t="s">
        <v>207</v>
      </c>
      <c r="I47" s="5" t="s">
        <v>16</v>
      </c>
      <c r="J47" s="5" t="s">
        <v>226</v>
      </c>
    </row>
    <row r="48" spans="1:11">
      <c r="A48" s="5" t="s">
        <v>139</v>
      </c>
      <c r="B48" s="5" t="s">
        <v>185</v>
      </c>
      <c r="C48" s="5" t="s">
        <v>186</v>
      </c>
      <c r="D48" s="5">
        <v>6</v>
      </c>
      <c r="E48" s="5" t="s">
        <v>227</v>
      </c>
      <c r="F48" s="3" t="s">
        <v>228</v>
      </c>
      <c r="G48" s="3">
        <v>44983</v>
      </c>
      <c r="H48" s="5" t="s">
        <v>159</v>
      </c>
      <c r="I48" s="5" t="s">
        <v>31</v>
      </c>
      <c r="J48" s="5" t="s">
        <v>229</v>
      </c>
      <c r="K48" s="5" t="s">
        <v>33</v>
      </c>
    </row>
    <row r="49" spans="1:11">
      <c r="A49" s="5" t="s">
        <v>73</v>
      </c>
      <c r="B49" s="5" t="s">
        <v>101</v>
      </c>
      <c r="C49" s="5" t="s">
        <v>102</v>
      </c>
      <c r="D49" s="5">
        <v>6</v>
      </c>
      <c r="E49" s="5" t="s">
        <v>230</v>
      </c>
      <c r="F49" s="2">
        <v>45018</v>
      </c>
      <c r="G49" s="1" t="s">
        <v>231</v>
      </c>
      <c r="H49" s="5" t="s">
        <v>122</v>
      </c>
      <c r="I49" s="5" t="s">
        <v>31</v>
      </c>
      <c r="J49" s="5" t="s">
        <v>232</v>
      </c>
      <c r="K49" s="5" t="s">
        <v>33</v>
      </c>
    </row>
    <row r="50" spans="1:11">
      <c r="A50" s="5" t="s">
        <v>233</v>
      </c>
      <c r="B50" s="5" t="s">
        <v>234</v>
      </c>
      <c r="C50" s="5" t="s">
        <v>235</v>
      </c>
      <c r="D50" s="5">
        <v>1</v>
      </c>
      <c r="E50" s="5" t="s">
        <v>236</v>
      </c>
      <c r="F50" s="1" t="s">
        <v>237</v>
      </c>
      <c r="G50" s="2">
        <v>45327</v>
      </c>
      <c r="H50" s="5" t="s">
        <v>59</v>
      </c>
      <c r="I50" s="5" t="s">
        <v>16</v>
      </c>
      <c r="J50" s="5" t="s">
        <v>238</v>
      </c>
      <c r="K50" s="5" t="s">
        <v>26</v>
      </c>
    </row>
    <row r="51" spans="1:11">
      <c r="A51" s="5" t="s">
        <v>239</v>
      </c>
      <c r="B51" s="5" t="s">
        <v>240</v>
      </c>
      <c r="C51" s="5" t="s">
        <v>241</v>
      </c>
      <c r="D51" s="5">
        <v>3</v>
      </c>
      <c r="E51" s="5" t="s">
        <v>242</v>
      </c>
      <c r="F51" s="3">
        <v>45419</v>
      </c>
      <c r="G51" s="3">
        <v>45425</v>
      </c>
      <c r="H51" s="5" t="s">
        <v>71</v>
      </c>
      <c r="I51" s="5" t="s">
        <v>24</v>
      </c>
      <c r="J51" s="5" t="s">
        <v>243</v>
      </c>
    </row>
    <row r="52" spans="1:11">
      <c r="A52" s="5" t="s">
        <v>73</v>
      </c>
      <c r="B52" s="5" t="s">
        <v>68</v>
      </c>
      <c r="C52" s="5" t="s">
        <v>69</v>
      </c>
      <c r="D52" s="5">
        <v>10</v>
      </c>
      <c r="E52" s="5" t="s">
        <v>244</v>
      </c>
      <c r="F52" s="2">
        <v>45422</v>
      </c>
      <c r="G52" s="2">
        <v>45433</v>
      </c>
      <c r="H52" s="5" t="s">
        <v>154</v>
      </c>
      <c r="I52" s="5" t="s">
        <v>111</v>
      </c>
      <c r="J52" s="5" t="s">
        <v>245</v>
      </c>
      <c r="K52" s="5" t="s">
        <v>26</v>
      </c>
    </row>
    <row r="53" spans="1:11">
      <c r="A53" s="5" t="s">
        <v>142</v>
      </c>
      <c r="B53" s="5" t="s">
        <v>234</v>
      </c>
      <c r="C53" s="5" t="s">
        <v>235</v>
      </c>
      <c r="D53" s="5">
        <v>4</v>
      </c>
      <c r="E53" s="5" t="s">
        <v>246</v>
      </c>
      <c r="F53" s="3">
        <v>45366</v>
      </c>
      <c r="G53" s="1" t="s">
        <v>247</v>
      </c>
      <c r="H53" s="5" t="s">
        <v>248</v>
      </c>
      <c r="I53" s="5" t="s">
        <v>16</v>
      </c>
      <c r="J53" s="5" t="s">
        <v>249</v>
      </c>
      <c r="K53" s="5" t="s">
        <v>48</v>
      </c>
    </row>
    <row r="54" spans="1:11">
      <c r="A54" s="5" t="s">
        <v>250</v>
      </c>
      <c r="B54" s="5" t="s">
        <v>251</v>
      </c>
      <c r="C54" s="5" t="s">
        <v>252</v>
      </c>
      <c r="D54" s="5">
        <v>1</v>
      </c>
      <c r="E54" s="5" t="s">
        <v>253</v>
      </c>
      <c r="F54" s="2">
        <v>44966</v>
      </c>
      <c r="G54" s="3">
        <v>44970</v>
      </c>
      <c r="H54" s="5" t="s">
        <v>116</v>
      </c>
      <c r="I54" s="5" t="s">
        <v>16</v>
      </c>
      <c r="J54" s="5" t="s">
        <v>254</v>
      </c>
    </row>
    <row r="55" spans="1:11">
      <c r="A55" s="5" t="s">
        <v>221</v>
      </c>
      <c r="B55" s="5" t="s">
        <v>251</v>
      </c>
      <c r="C55" s="5" t="s">
        <v>252</v>
      </c>
      <c r="D55" s="5">
        <v>6</v>
      </c>
      <c r="E55" s="5" t="s">
        <v>255</v>
      </c>
      <c r="F55" s="2">
        <v>45176</v>
      </c>
      <c r="G55" s="2" t="s">
        <v>256</v>
      </c>
      <c r="H55" s="5" t="s">
        <v>248</v>
      </c>
      <c r="I55" s="5" t="s">
        <v>16</v>
      </c>
      <c r="J55" s="5" t="s">
        <v>257</v>
      </c>
      <c r="K55" s="5" t="s">
        <v>18</v>
      </c>
    </row>
    <row r="56" spans="1:11">
      <c r="A56" s="5" t="s">
        <v>258</v>
      </c>
      <c r="B56" s="5" t="s">
        <v>185</v>
      </c>
      <c r="C56" s="5" t="s">
        <v>186</v>
      </c>
      <c r="D56" s="5">
        <v>8</v>
      </c>
      <c r="E56" s="5" t="s">
        <v>259</v>
      </c>
      <c r="F56" s="2">
        <v>45418</v>
      </c>
      <c r="G56" s="2">
        <v>45419</v>
      </c>
      <c r="H56" s="5" t="s">
        <v>76</v>
      </c>
      <c r="I56" s="5" t="s">
        <v>16</v>
      </c>
      <c r="J56" s="5" t="s">
        <v>260</v>
      </c>
    </row>
    <row r="57" spans="1:11">
      <c r="A57" s="5" t="s">
        <v>128</v>
      </c>
      <c r="B57" s="5" t="s">
        <v>20</v>
      </c>
      <c r="C57" s="5" t="s">
        <v>21</v>
      </c>
      <c r="D57" s="5">
        <v>1</v>
      </c>
      <c r="E57" s="5" t="s">
        <v>261</v>
      </c>
      <c r="F57" s="3">
        <v>45301</v>
      </c>
      <c r="G57" s="3">
        <v>45307</v>
      </c>
      <c r="H57" s="5" t="s">
        <v>262</v>
      </c>
      <c r="I57" s="5" t="s">
        <v>24</v>
      </c>
      <c r="J57" s="5" t="s">
        <v>263</v>
      </c>
      <c r="K57" s="5" t="s">
        <v>18</v>
      </c>
    </row>
    <row r="58" spans="1:11">
      <c r="A58" s="5" t="s">
        <v>264</v>
      </c>
      <c r="B58" s="5" t="s">
        <v>265</v>
      </c>
      <c r="C58" s="5" t="s">
        <v>266</v>
      </c>
      <c r="D58" s="5">
        <v>2</v>
      </c>
      <c r="E58" s="5" t="s">
        <v>267</v>
      </c>
      <c r="F58" s="2">
        <v>45041</v>
      </c>
      <c r="G58" s="2" t="s">
        <v>268</v>
      </c>
      <c r="H58" s="5" t="s">
        <v>116</v>
      </c>
      <c r="I58" s="5" t="s">
        <v>46</v>
      </c>
      <c r="J58" s="5" t="s">
        <v>269</v>
      </c>
    </row>
    <row r="59" spans="1:11">
      <c r="A59" s="5" t="s">
        <v>270</v>
      </c>
      <c r="B59" s="5" t="s">
        <v>271</v>
      </c>
      <c r="C59" s="5" t="s">
        <v>272</v>
      </c>
      <c r="D59" s="5">
        <v>6</v>
      </c>
      <c r="E59" s="5" t="s">
        <v>273</v>
      </c>
      <c r="F59" s="2">
        <v>45202</v>
      </c>
      <c r="G59" s="2">
        <v>45214</v>
      </c>
      <c r="H59" s="5" t="s">
        <v>223</v>
      </c>
      <c r="I59" s="5" t="s">
        <v>46</v>
      </c>
      <c r="J59" s="5" t="s">
        <v>274</v>
      </c>
      <c r="K59" s="5" t="s">
        <v>33</v>
      </c>
    </row>
    <row r="60" spans="1:11">
      <c r="A60" s="5" t="s">
        <v>275</v>
      </c>
      <c r="B60" s="5" t="s">
        <v>234</v>
      </c>
      <c r="C60" s="5" t="s">
        <v>235</v>
      </c>
      <c r="D60" s="5">
        <v>3</v>
      </c>
      <c r="E60" s="5" t="s">
        <v>276</v>
      </c>
      <c r="F60" s="3">
        <v>45192</v>
      </c>
      <c r="G60" s="1" t="s">
        <v>277</v>
      </c>
      <c r="H60" s="5" t="s">
        <v>207</v>
      </c>
      <c r="I60" s="5" t="s">
        <v>111</v>
      </c>
      <c r="J60" s="5" t="s">
        <v>278</v>
      </c>
    </row>
    <row r="61" spans="1:11">
      <c r="A61" s="5" t="s">
        <v>279</v>
      </c>
      <c r="B61" s="5" t="s">
        <v>79</v>
      </c>
      <c r="C61" s="5" t="s">
        <v>80</v>
      </c>
      <c r="D61" s="5">
        <v>4</v>
      </c>
      <c r="E61" s="5" t="s">
        <v>280</v>
      </c>
      <c r="F61" s="2">
        <v>45295</v>
      </c>
      <c r="G61" s="3">
        <v>45305</v>
      </c>
      <c r="H61" s="5" t="s">
        <v>98</v>
      </c>
      <c r="I61" s="5" t="s">
        <v>16</v>
      </c>
      <c r="J61" s="5" t="s">
        <v>281</v>
      </c>
      <c r="K61" s="5" t="s">
        <v>48</v>
      </c>
    </row>
    <row r="62" spans="1:11">
      <c r="A62" s="5" t="s">
        <v>282</v>
      </c>
      <c r="B62" s="5" t="s">
        <v>113</v>
      </c>
      <c r="C62" s="5" t="s">
        <v>114</v>
      </c>
      <c r="D62" s="5">
        <v>9</v>
      </c>
      <c r="E62" s="5" t="s">
        <v>283</v>
      </c>
      <c r="F62" s="2">
        <v>45275</v>
      </c>
      <c r="G62" s="2">
        <v>45288</v>
      </c>
      <c r="H62" s="5" t="s">
        <v>146</v>
      </c>
      <c r="I62" s="5" t="s">
        <v>31</v>
      </c>
      <c r="J62" s="5" t="s">
        <v>284</v>
      </c>
      <c r="K62" s="5" t="s">
        <v>26</v>
      </c>
    </row>
    <row r="63" spans="1:11">
      <c r="A63" s="5" t="s">
        <v>124</v>
      </c>
      <c r="B63" s="5" t="s">
        <v>89</v>
      </c>
      <c r="C63" s="5" t="s">
        <v>90</v>
      </c>
      <c r="D63" s="5">
        <v>3</v>
      </c>
      <c r="E63" s="5" t="s">
        <v>285</v>
      </c>
      <c r="F63" s="2">
        <v>45053</v>
      </c>
      <c r="G63" s="2" t="s">
        <v>286</v>
      </c>
      <c r="H63" s="5" t="s">
        <v>76</v>
      </c>
      <c r="I63" s="5" t="s">
        <v>111</v>
      </c>
      <c r="J63" s="5" t="s">
        <v>287</v>
      </c>
    </row>
    <row r="64" spans="1:11">
      <c r="A64" s="5" t="s">
        <v>11</v>
      </c>
      <c r="B64" s="5" t="s">
        <v>234</v>
      </c>
      <c r="C64" s="5" t="s">
        <v>235</v>
      </c>
      <c r="D64" s="5">
        <v>7</v>
      </c>
      <c r="E64" s="5" t="s">
        <v>288</v>
      </c>
      <c r="F64" s="2">
        <v>45451</v>
      </c>
      <c r="G64" s="1" t="s">
        <v>289</v>
      </c>
      <c r="H64" s="5" t="s">
        <v>23</v>
      </c>
      <c r="I64" s="5" t="s">
        <v>111</v>
      </c>
      <c r="J64" s="5" t="s">
        <v>290</v>
      </c>
    </row>
    <row r="65" spans="1:11">
      <c r="A65" s="5" t="s">
        <v>291</v>
      </c>
      <c r="B65" s="5" t="s">
        <v>292</v>
      </c>
      <c r="C65" s="5" t="s">
        <v>293</v>
      </c>
      <c r="D65" s="5">
        <v>1</v>
      </c>
      <c r="E65" s="5" t="s">
        <v>294</v>
      </c>
      <c r="F65" s="3" t="s">
        <v>295</v>
      </c>
      <c r="G65" s="2">
        <v>45176</v>
      </c>
      <c r="H65" s="5" t="s">
        <v>180</v>
      </c>
      <c r="I65" s="5" t="s">
        <v>31</v>
      </c>
      <c r="J65" s="5" t="s">
        <v>296</v>
      </c>
    </row>
    <row r="66" spans="1:11">
      <c r="A66" s="5" t="s">
        <v>49</v>
      </c>
      <c r="B66" s="5" t="s">
        <v>185</v>
      </c>
      <c r="C66" s="5" t="s">
        <v>186</v>
      </c>
      <c r="D66" s="5">
        <v>4</v>
      </c>
      <c r="E66" s="5" t="s">
        <v>297</v>
      </c>
      <c r="F66" s="3">
        <v>45006</v>
      </c>
      <c r="G66" s="2">
        <v>45020</v>
      </c>
      <c r="H66" s="5" t="s">
        <v>248</v>
      </c>
      <c r="I66" s="5" t="s">
        <v>31</v>
      </c>
      <c r="J66" s="5" t="s">
        <v>298</v>
      </c>
    </row>
    <row r="67" spans="1:11">
      <c r="A67" s="5" t="s">
        <v>299</v>
      </c>
      <c r="B67" s="5" t="s">
        <v>240</v>
      </c>
      <c r="C67" s="5" t="s">
        <v>241</v>
      </c>
      <c r="D67" s="5">
        <v>10</v>
      </c>
      <c r="E67" s="5" t="s">
        <v>300</v>
      </c>
      <c r="F67" s="3">
        <v>45378</v>
      </c>
      <c r="G67" s="2">
        <v>45387</v>
      </c>
      <c r="H67" s="5" t="s">
        <v>301</v>
      </c>
      <c r="I67" s="5" t="s">
        <v>31</v>
      </c>
      <c r="J67" s="5" t="s">
        <v>302</v>
      </c>
    </row>
    <row r="68" spans="1:11">
      <c r="A68" s="5" t="s">
        <v>303</v>
      </c>
      <c r="B68" s="5" t="s">
        <v>106</v>
      </c>
      <c r="C68" s="5" t="s">
        <v>107</v>
      </c>
      <c r="D68" s="5">
        <v>3</v>
      </c>
      <c r="E68" s="5" t="s">
        <v>304</v>
      </c>
      <c r="F68" s="3">
        <v>45055</v>
      </c>
      <c r="G68" s="2">
        <v>45065</v>
      </c>
      <c r="H68" s="5" t="s">
        <v>192</v>
      </c>
      <c r="I68" s="5" t="s">
        <v>111</v>
      </c>
      <c r="J68" s="5" t="s">
        <v>305</v>
      </c>
    </row>
    <row r="69" spans="1:11">
      <c r="A69" s="5" t="s">
        <v>11</v>
      </c>
      <c r="B69" s="5" t="s">
        <v>292</v>
      </c>
      <c r="C69" s="5" t="s">
        <v>293</v>
      </c>
      <c r="D69" s="5">
        <v>9</v>
      </c>
      <c r="E69" s="5" t="s">
        <v>306</v>
      </c>
      <c r="F69" s="2">
        <v>45062</v>
      </c>
      <c r="G69" s="2">
        <v>45073</v>
      </c>
      <c r="H69" s="5" t="s">
        <v>301</v>
      </c>
      <c r="I69" s="5" t="s">
        <v>31</v>
      </c>
      <c r="J69" s="5" t="s">
        <v>307</v>
      </c>
      <c r="K69" s="5" t="s">
        <v>48</v>
      </c>
    </row>
    <row r="70" spans="1:11">
      <c r="A70" s="5" t="s">
        <v>308</v>
      </c>
      <c r="B70" s="5" t="s">
        <v>309</v>
      </c>
      <c r="C70" s="5" t="s">
        <v>310</v>
      </c>
      <c r="D70" s="5">
        <v>10</v>
      </c>
      <c r="E70" s="5" t="s">
        <v>311</v>
      </c>
      <c r="F70" s="3">
        <v>45421</v>
      </c>
      <c r="G70" s="2" t="s">
        <v>312</v>
      </c>
      <c r="H70" s="5" t="s">
        <v>40</v>
      </c>
      <c r="I70" s="5" t="s">
        <v>24</v>
      </c>
      <c r="J70" s="5" t="s">
        <v>313</v>
      </c>
      <c r="K70" s="5" t="s">
        <v>18</v>
      </c>
    </row>
    <row r="71" spans="1:11">
      <c r="A71" s="5" t="s">
        <v>314</v>
      </c>
      <c r="B71" s="5" t="s">
        <v>315</v>
      </c>
      <c r="C71" s="5" t="s">
        <v>316</v>
      </c>
      <c r="D71" s="5">
        <v>5</v>
      </c>
      <c r="E71" s="5" t="s">
        <v>317</v>
      </c>
      <c r="F71" s="2" t="s">
        <v>318</v>
      </c>
      <c r="G71" s="2">
        <v>44954</v>
      </c>
      <c r="H71" s="5" t="s">
        <v>192</v>
      </c>
      <c r="I71" s="5" t="s">
        <v>31</v>
      </c>
      <c r="J71" s="5" t="s">
        <v>319</v>
      </c>
    </row>
    <row r="72" spans="1:11">
      <c r="A72" s="5" t="s">
        <v>320</v>
      </c>
      <c r="B72" s="5" t="s">
        <v>321</v>
      </c>
      <c r="C72" s="5" t="s">
        <v>322</v>
      </c>
      <c r="D72" s="5">
        <v>1</v>
      </c>
      <c r="E72" s="5" t="s">
        <v>323</v>
      </c>
      <c r="F72" s="2">
        <v>45420</v>
      </c>
      <c r="G72" s="2">
        <v>45430</v>
      </c>
      <c r="H72" s="5" t="s">
        <v>180</v>
      </c>
      <c r="I72" s="5" t="s">
        <v>16</v>
      </c>
      <c r="J72" s="5" t="s">
        <v>324</v>
      </c>
    </row>
    <row r="73" spans="1:11">
      <c r="A73" s="5" t="s">
        <v>61</v>
      </c>
      <c r="B73" s="5" t="s">
        <v>79</v>
      </c>
      <c r="C73" s="5" t="s">
        <v>80</v>
      </c>
      <c r="D73" s="5">
        <v>10</v>
      </c>
      <c r="E73" s="5" t="s">
        <v>325</v>
      </c>
      <c r="F73" s="2">
        <v>45258</v>
      </c>
      <c r="G73" s="2">
        <v>45270</v>
      </c>
      <c r="H73" s="5" t="s">
        <v>248</v>
      </c>
      <c r="I73" s="5" t="s">
        <v>31</v>
      </c>
      <c r="J73" s="5" t="s">
        <v>326</v>
      </c>
      <c r="K73" s="5" t="s">
        <v>48</v>
      </c>
    </row>
    <row r="74" spans="1:11">
      <c r="A74" s="5" t="s">
        <v>118</v>
      </c>
      <c r="B74" s="5" t="s">
        <v>265</v>
      </c>
      <c r="C74" s="5" t="s">
        <v>266</v>
      </c>
      <c r="D74" s="5">
        <v>1</v>
      </c>
      <c r="E74" s="5" t="s">
        <v>327</v>
      </c>
      <c r="F74" s="1" t="s">
        <v>328</v>
      </c>
      <c r="G74" s="2">
        <v>45414</v>
      </c>
      <c r="H74" s="5" t="s">
        <v>15</v>
      </c>
      <c r="I74" s="5" t="s">
        <v>16</v>
      </c>
      <c r="J74" s="5" t="s">
        <v>329</v>
      </c>
    </row>
    <row r="75" spans="1:11">
      <c r="A75" s="5" t="s">
        <v>330</v>
      </c>
      <c r="B75" s="5" t="s">
        <v>43</v>
      </c>
      <c r="C75" s="5" t="s">
        <v>44</v>
      </c>
      <c r="D75" s="5">
        <v>3</v>
      </c>
      <c r="E75" s="5" t="s">
        <v>331</v>
      </c>
      <c r="F75" s="2" t="s">
        <v>332</v>
      </c>
      <c r="G75" s="2">
        <v>45234</v>
      </c>
      <c r="H75" s="5" t="s">
        <v>301</v>
      </c>
      <c r="I75" s="5" t="s">
        <v>31</v>
      </c>
      <c r="J75" s="5" t="s">
        <v>333</v>
      </c>
    </row>
    <row r="76" spans="1:11">
      <c r="A76" s="5" t="s">
        <v>131</v>
      </c>
      <c r="B76" s="5" t="s">
        <v>201</v>
      </c>
      <c r="C76" s="5" t="s">
        <v>202</v>
      </c>
      <c r="D76" s="5">
        <v>5</v>
      </c>
      <c r="E76" s="5" t="s">
        <v>334</v>
      </c>
      <c r="F76" s="3">
        <v>45265</v>
      </c>
      <c r="G76" s="3">
        <v>45272</v>
      </c>
      <c r="H76" s="5" t="s">
        <v>23</v>
      </c>
      <c r="I76" s="5" t="s">
        <v>24</v>
      </c>
      <c r="J76" s="5" t="s">
        <v>335</v>
      </c>
      <c r="K76" s="5" t="s">
        <v>26</v>
      </c>
    </row>
    <row r="77" spans="1:11">
      <c r="A77" s="5" t="s">
        <v>221</v>
      </c>
      <c r="B77" s="5" t="s">
        <v>50</v>
      </c>
      <c r="C77" s="5" t="s">
        <v>51</v>
      </c>
      <c r="D77" s="5">
        <v>6</v>
      </c>
      <c r="E77" s="5" t="s">
        <v>336</v>
      </c>
      <c r="F77" s="3">
        <v>45004</v>
      </c>
      <c r="G77" s="3">
        <v>45013</v>
      </c>
      <c r="H77" s="5" t="s">
        <v>98</v>
      </c>
      <c r="I77" s="5" t="s">
        <v>16</v>
      </c>
      <c r="J77" s="5" t="s">
        <v>337</v>
      </c>
    </row>
    <row r="78" spans="1:11">
      <c r="A78" s="5" t="s">
        <v>73</v>
      </c>
      <c r="B78" s="5" t="s">
        <v>234</v>
      </c>
      <c r="C78" s="5" t="s">
        <v>235</v>
      </c>
      <c r="D78" s="5">
        <v>4</v>
      </c>
      <c r="E78" s="5" t="s">
        <v>338</v>
      </c>
      <c r="F78" s="2">
        <v>45347</v>
      </c>
      <c r="G78" s="2">
        <v>45348</v>
      </c>
      <c r="H78" s="5" t="s">
        <v>154</v>
      </c>
      <c r="I78" s="5" t="s">
        <v>31</v>
      </c>
      <c r="J78" s="5" t="s">
        <v>339</v>
      </c>
    </row>
    <row r="79" spans="1:11">
      <c r="A79" s="5" t="s">
        <v>239</v>
      </c>
      <c r="B79" s="5" t="s">
        <v>143</v>
      </c>
      <c r="C79" s="5" t="s">
        <v>144</v>
      </c>
      <c r="D79" s="5">
        <v>6</v>
      </c>
      <c r="E79" s="5" t="s">
        <v>340</v>
      </c>
      <c r="F79" s="2">
        <v>45417</v>
      </c>
      <c r="G79" s="2">
        <v>45430</v>
      </c>
      <c r="H79" s="5" t="s">
        <v>65</v>
      </c>
      <c r="I79" s="5" t="s">
        <v>31</v>
      </c>
      <c r="J79" s="5" t="s">
        <v>341</v>
      </c>
      <c r="K79" s="5" t="s">
        <v>33</v>
      </c>
    </row>
    <row r="80" spans="1:11">
      <c r="A80" s="5" t="s">
        <v>308</v>
      </c>
      <c r="B80" s="5" t="s">
        <v>20</v>
      </c>
      <c r="C80" s="5" t="s">
        <v>21</v>
      </c>
      <c r="D80" s="5">
        <v>2</v>
      </c>
      <c r="E80" s="5" t="s">
        <v>342</v>
      </c>
      <c r="F80" s="3">
        <v>45397</v>
      </c>
      <c r="G80" s="2">
        <v>45407</v>
      </c>
      <c r="H80" s="5" t="s">
        <v>223</v>
      </c>
      <c r="I80" s="5" t="s">
        <v>46</v>
      </c>
      <c r="J80" s="5" t="s">
        <v>343</v>
      </c>
    </row>
    <row r="81" spans="1:11">
      <c r="A81" s="5" t="s">
        <v>171</v>
      </c>
      <c r="B81" s="5" t="s">
        <v>113</v>
      </c>
      <c r="C81" s="5" t="s">
        <v>114</v>
      </c>
      <c r="D81" s="5">
        <v>8</v>
      </c>
      <c r="E81" s="5" t="s">
        <v>344</v>
      </c>
      <c r="F81" s="2">
        <v>45410</v>
      </c>
      <c r="G81" s="2">
        <v>45413</v>
      </c>
      <c r="H81" s="5" t="s">
        <v>149</v>
      </c>
      <c r="I81" s="5" t="s">
        <v>46</v>
      </c>
      <c r="J81" s="5" t="s">
        <v>345</v>
      </c>
    </row>
    <row r="82" spans="1:11">
      <c r="A82" s="5" t="s">
        <v>346</v>
      </c>
      <c r="B82" s="5" t="s">
        <v>292</v>
      </c>
      <c r="C82" s="5" t="s">
        <v>293</v>
      </c>
      <c r="D82" s="5">
        <v>10</v>
      </c>
      <c r="E82" s="5" t="s">
        <v>347</v>
      </c>
      <c r="F82" s="2">
        <v>45469</v>
      </c>
      <c r="G82" s="2">
        <v>45473</v>
      </c>
      <c r="H82" s="5" t="s">
        <v>59</v>
      </c>
      <c r="I82" s="5" t="s">
        <v>46</v>
      </c>
      <c r="J82" s="5" t="s">
        <v>348</v>
      </c>
    </row>
    <row r="83" spans="1:11">
      <c r="A83" s="5" t="s">
        <v>349</v>
      </c>
      <c r="B83" s="5" t="s">
        <v>350</v>
      </c>
      <c r="C83" s="5" t="s">
        <v>351</v>
      </c>
      <c r="D83" s="5">
        <v>3</v>
      </c>
      <c r="E83" s="5" t="s">
        <v>352</v>
      </c>
      <c r="F83" s="2">
        <v>45187</v>
      </c>
      <c r="G83" s="2">
        <v>45198</v>
      </c>
      <c r="H83" s="5" t="s">
        <v>76</v>
      </c>
      <c r="I83" s="5" t="s">
        <v>111</v>
      </c>
      <c r="J83" s="5" t="s">
        <v>353</v>
      </c>
      <c r="K83" s="5" t="s">
        <v>26</v>
      </c>
    </row>
    <row r="84" spans="1:11">
      <c r="A84" s="5" t="s">
        <v>118</v>
      </c>
      <c r="B84" s="5" t="s">
        <v>354</v>
      </c>
      <c r="C84" s="5" t="s">
        <v>355</v>
      </c>
      <c r="D84" s="5">
        <v>2</v>
      </c>
      <c r="E84" s="5" t="s">
        <v>356</v>
      </c>
      <c r="F84" s="3">
        <v>45305</v>
      </c>
      <c r="G84" s="2">
        <v>45316</v>
      </c>
      <c r="H84" s="5" t="s">
        <v>357</v>
      </c>
      <c r="I84" s="5" t="s">
        <v>46</v>
      </c>
      <c r="J84" s="5" t="s">
        <v>358</v>
      </c>
    </row>
    <row r="85" spans="1:11">
      <c r="A85" s="5" t="s">
        <v>258</v>
      </c>
      <c r="B85" s="5" t="s">
        <v>350</v>
      </c>
      <c r="C85" s="5" t="s">
        <v>351</v>
      </c>
      <c r="D85" s="5">
        <v>7</v>
      </c>
      <c r="E85" s="5" t="s">
        <v>359</v>
      </c>
      <c r="F85" s="3">
        <v>45307</v>
      </c>
      <c r="G85" s="2">
        <v>45320</v>
      </c>
      <c r="H85" s="5" t="s">
        <v>23</v>
      </c>
      <c r="I85" s="5" t="s">
        <v>16</v>
      </c>
      <c r="J85" s="5" t="s">
        <v>360</v>
      </c>
    </row>
    <row r="86" spans="1:11">
      <c r="A86" s="5" t="s">
        <v>166</v>
      </c>
      <c r="B86" s="5" t="s">
        <v>62</v>
      </c>
      <c r="C86" s="5" t="s">
        <v>63</v>
      </c>
      <c r="D86" s="5">
        <v>6</v>
      </c>
      <c r="E86" s="5" t="s">
        <v>361</v>
      </c>
      <c r="F86" s="3">
        <v>45190</v>
      </c>
      <c r="G86" s="2">
        <v>45202</v>
      </c>
      <c r="H86" s="5" t="s">
        <v>154</v>
      </c>
      <c r="I86" s="5" t="s">
        <v>111</v>
      </c>
      <c r="J86" s="5" t="s">
        <v>362</v>
      </c>
      <c r="K86" s="5" t="s">
        <v>26</v>
      </c>
    </row>
    <row r="87" spans="1:11">
      <c r="A87" s="5" t="s">
        <v>224</v>
      </c>
      <c r="B87" s="5" t="s">
        <v>201</v>
      </c>
      <c r="C87" s="5" t="s">
        <v>202</v>
      </c>
      <c r="D87" s="5">
        <v>2</v>
      </c>
      <c r="E87" s="5" t="s">
        <v>363</v>
      </c>
      <c r="F87" s="1" t="s">
        <v>364</v>
      </c>
      <c r="G87" s="3">
        <v>45167</v>
      </c>
      <c r="H87" s="5" t="s">
        <v>357</v>
      </c>
      <c r="I87" s="5" t="s">
        <v>111</v>
      </c>
      <c r="J87" s="5" t="s">
        <v>365</v>
      </c>
    </row>
    <row r="88" spans="1:11">
      <c r="A88" s="5" t="s">
        <v>366</v>
      </c>
      <c r="B88" s="5" t="s">
        <v>79</v>
      </c>
      <c r="C88" s="5" t="s">
        <v>80</v>
      </c>
      <c r="D88" s="5">
        <v>8</v>
      </c>
      <c r="E88" s="5" t="s">
        <v>367</v>
      </c>
      <c r="F88" s="2">
        <v>45202</v>
      </c>
      <c r="G88" s="2">
        <v>45216</v>
      </c>
      <c r="H88" s="5" t="s">
        <v>207</v>
      </c>
      <c r="I88" s="5" t="s">
        <v>16</v>
      </c>
      <c r="J88" s="5" t="s">
        <v>368</v>
      </c>
      <c r="K88" s="5" t="s">
        <v>33</v>
      </c>
    </row>
    <row r="89" spans="1:11">
      <c r="A89" s="5" t="s">
        <v>314</v>
      </c>
      <c r="B89" s="5" t="s">
        <v>369</v>
      </c>
      <c r="C89" s="5" t="s">
        <v>370</v>
      </c>
      <c r="D89" s="5">
        <v>10</v>
      </c>
      <c r="E89" s="5" t="s">
        <v>371</v>
      </c>
      <c r="F89" s="2">
        <v>45383</v>
      </c>
      <c r="G89" s="2">
        <v>45387</v>
      </c>
      <c r="H89" s="5" t="s">
        <v>262</v>
      </c>
      <c r="I89" s="5" t="s">
        <v>24</v>
      </c>
      <c r="J89" s="5" t="s">
        <v>372</v>
      </c>
    </row>
    <row r="90" spans="1:11">
      <c r="A90" s="5" t="s">
        <v>166</v>
      </c>
      <c r="B90" s="5" t="s">
        <v>50</v>
      </c>
      <c r="C90" s="5" t="s">
        <v>51</v>
      </c>
      <c r="D90" s="5">
        <v>4</v>
      </c>
      <c r="E90" s="5" t="s">
        <v>373</v>
      </c>
      <c r="F90" s="3">
        <v>45059</v>
      </c>
      <c r="G90" s="1" t="s">
        <v>374</v>
      </c>
      <c r="H90" s="5" t="s">
        <v>262</v>
      </c>
      <c r="I90" s="5" t="s">
        <v>16</v>
      </c>
      <c r="J90" s="5" t="s">
        <v>375</v>
      </c>
      <c r="K90" s="5" t="s">
        <v>26</v>
      </c>
    </row>
    <row r="91" spans="1:11">
      <c r="A91" s="5" t="s">
        <v>376</v>
      </c>
      <c r="B91" s="5" t="s">
        <v>234</v>
      </c>
      <c r="C91" s="5" t="s">
        <v>235</v>
      </c>
      <c r="D91" s="5">
        <v>10</v>
      </c>
      <c r="E91" s="5" t="s">
        <v>377</v>
      </c>
      <c r="F91" s="2">
        <v>45259</v>
      </c>
      <c r="G91" s="2">
        <v>45266</v>
      </c>
      <c r="H91" s="5" t="s">
        <v>40</v>
      </c>
      <c r="I91" s="5" t="s">
        <v>31</v>
      </c>
      <c r="J91" s="5" t="s">
        <v>378</v>
      </c>
      <c r="K91" s="5" t="s">
        <v>48</v>
      </c>
    </row>
    <row r="92" spans="1:11">
      <c r="A92" s="5" t="s">
        <v>67</v>
      </c>
      <c r="B92" s="5" t="s">
        <v>309</v>
      </c>
      <c r="C92" s="5" t="s">
        <v>310</v>
      </c>
      <c r="D92" s="5">
        <v>2</v>
      </c>
      <c r="E92" s="5" t="s">
        <v>379</v>
      </c>
      <c r="F92" s="2">
        <v>44928</v>
      </c>
      <c r="G92" s="3">
        <v>44930</v>
      </c>
      <c r="H92" s="5" t="s">
        <v>110</v>
      </c>
      <c r="I92" s="5" t="s">
        <v>31</v>
      </c>
      <c r="J92" s="5" t="s">
        <v>380</v>
      </c>
    </row>
    <row r="93" spans="1:11">
      <c r="A93" s="5" t="s">
        <v>381</v>
      </c>
      <c r="B93" s="5" t="s">
        <v>68</v>
      </c>
      <c r="C93" s="5" t="s">
        <v>69</v>
      </c>
      <c r="D93" s="5">
        <v>10</v>
      </c>
      <c r="E93" s="5" t="s">
        <v>382</v>
      </c>
      <c r="F93" s="2">
        <v>45339</v>
      </c>
      <c r="G93" s="2">
        <v>45347</v>
      </c>
      <c r="H93" s="5" t="s">
        <v>65</v>
      </c>
      <c r="I93" s="5" t="s">
        <v>111</v>
      </c>
      <c r="J93" s="5" t="s">
        <v>383</v>
      </c>
    </row>
    <row r="94" spans="1:11">
      <c r="A94" s="5" t="s">
        <v>139</v>
      </c>
      <c r="B94" s="5" t="s">
        <v>156</v>
      </c>
      <c r="C94" s="5" t="s">
        <v>157</v>
      </c>
      <c r="D94" s="5">
        <v>9</v>
      </c>
      <c r="E94" s="5" t="s">
        <v>384</v>
      </c>
      <c r="F94" s="2">
        <v>45355</v>
      </c>
      <c r="G94" s="3" t="s">
        <v>385</v>
      </c>
      <c r="H94" s="5" t="s">
        <v>40</v>
      </c>
      <c r="I94" s="5" t="s">
        <v>111</v>
      </c>
      <c r="J94" s="5" t="s">
        <v>386</v>
      </c>
    </row>
    <row r="95" spans="1:11">
      <c r="A95" s="5" t="s">
        <v>135</v>
      </c>
      <c r="B95" s="5" t="s">
        <v>354</v>
      </c>
      <c r="C95" s="5" t="s">
        <v>355</v>
      </c>
      <c r="D95" s="5">
        <v>1</v>
      </c>
      <c r="E95" s="5" t="s">
        <v>387</v>
      </c>
      <c r="F95" s="2" t="s">
        <v>388</v>
      </c>
      <c r="G95" s="2">
        <v>45139</v>
      </c>
      <c r="H95" s="5" t="s">
        <v>122</v>
      </c>
      <c r="I95" s="5" t="s">
        <v>24</v>
      </c>
      <c r="J95" s="5" t="s">
        <v>389</v>
      </c>
    </row>
    <row r="96" spans="1:11">
      <c r="A96" s="5" t="s">
        <v>349</v>
      </c>
      <c r="B96" s="5" t="s">
        <v>119</v>
      </c>
      <c r="C96" s="5" t="s">
        <v>120</v>
      </c>
      <c r="D96" s="5">
        <v>9</v>
      </c>
      <c r="E96" s="5" t="s">
        <v>390</v>
      </c>
      <c r="F96" s="2" t="s">
        <v>391</v>
      </c>
      <c r="G96" s="2">
        <v>45151</v>
      </c>
      <c r="H96" s="5" t="s">
        <v>301</v>
      </c>
      <c r="I96" s="5" t="s">
        <v>16</v>
      </c>
      <c r="J96" s="5" t="s">
        <v>392</v>
      </c>
      <c r="K96" s="5" t="s">
        <v>48</v>
      </c>
    </row>
    <row r="97" spans="1:11">
      <c r="A97" s="5" t="s">
        <v>330</v>
      </c>
      <c r="B97" s="5" t="s">
        <v>393</v>
      </c>
      <c r="C97" s="5" t="s">
        <v>394</v>
      </c>
      <c r="D97" s="5">
        <v>10</v>
      </c>
      <c r="E97" s="5" t="s">
        <v>395</v>
      </c>
      <c r="F97" s="2">
        <v>45026</v>
      </c>
      <c r="G97" s="2">
        <v>45034</v>
      </c>
      <c r="H97" s="5" t="s">
        <v>116</v>
      </c>
      <c r="I97" s="5" t="s">
        <v>46</v>
      </c>
      <c r="J97" s="5" t="s">
        <v>396</v>
      </c>
    </row>
    <row r="98" spans="1:11">
      <c r="A98" s="5" t="s">
        <v>397</v>
      </c>
      <c r="B98" s="5" t="s">
        <v>251</v>
      </c>
      <c r="C98" s="5" t="s">
        <v>252</v>
      </c>
      <c r="D98" s="5">
        <v>3</v>
      </c>
      <c r="E98" s="5" t="s">
        <v>398</v>
      </c>
      <c r="F98" s="2">
        <v>45302</v>
      </c>
      <c r="G98" s="3">
        <v>45307</v>
      </c>
      <c r="H98" s="5" t="s">
        <v>248</v>
      </c>
      <c r="I98" s="5" t="s">
        <v>16</v>
      </c>
      <c r="J98" s="5" t="s">
        <v>399</v>
      </c>
      <c r="K98" s="5" t="s">
        <v>48</v>
      </c>
    </row>
    <row r="99" spans="1:11">
      <c r="A99" s="5" t="s">
        <v>400</v>
      </c>
      <c r="B99" s="5" t="s">
        <v>143</v>
      </c>
      <c r="C99" s="5" t="s">
        <v>144</v>
      </c>
      <c r="D99" s="5">
        <v>5</v>
      </c>
      <c r="E99" s="5" t="s">
        <v>401</v>
      </c>
      <c r="F99" s="3">
        <v>45340</v>
      </c>
      <c r="G99" s="3">
        <v>45346</v>
      </c>
      <c r="H99" s="5" t="s">
        <v>110</v>
      </c>
      <c r="I99" s="5" t="s">
        <v>16</v>
      </c>
      <c r="J99" s="5" t="s">
        <v>402</v>
      </c>
    </row>
    <row r="100" spans="1:11">
      <c r="A100" s="5" t="s">
        <v>403</v>
      </c>
      <c r="B100" s="5" t="s">
        <v>251</v>
      </c>
      <c r="C100" s="5" t="s">
        <v>252</v>
      </c>
      <c r="D100" s="5">
        <v>2</v>
      </c>
      <c r="E100" s="5" t="s">
        <v>404</v>
      </c>
      <c r="F100" s="2">
        <v>45411</v>
      </c>
      <c r="G100" s="2">
        <v>45417</v>
      </c>
      <c r="H100" s="5" t="s">
        <v>122</v>
      </c>
      <c r="I100" s="5" t="s">
        <v>16</v>
      </c>
      <c r="J100" s="5" t="s">
        <v>405</v>
      </c>
    </row>
    <row r="101" spans="1:11">
      <c r="A101" s="5" t="s">
        <v>85</v>
      </c>
      <c r="B101" s="5" t="s">
        <v>113</v>
      </c>
      <c r="C101" s="5" t="s">
        <v>114</v>
      </c>
      <c r="D101" s="5">
        <v>3</v>
      </c>
      <c r="E101" s="5" t="s">
        <v>406</v>
      </c>
      <c r="F101" s="2">
        <v>45323</v>
      </c>
      <c r="G101" s="3" t="s">
        <v>407</v>
      </c>
      <c r="H101" s="5" t="s">
        <v>192</v>
      </c>
      <c r="I101" s="5" t="s">
        <v>46</v>
      </c>
      <c r="J101" s="5" t="s">
        <v>408</v>
      </c>
    </row>
    <row r="102" spans="1:11">
      <c r="A102" s="5" t="s">
        <v>409</v>
      </c>
      <c r="B102" s="5" t="s">
        <v>354</v>
      </c>
      <c r="C102" s="5" t="s">
        <v>355</v>
      </c>
      <c r="D102" s="5">
        <v>10</v>
      </c>
      <c r="E102" s="5" t="s">
        <v>410</v>
      </c>
      <c r="F102" s="3">
        <v>45053</v>
      </c>
      <c r="G102" s="1" t="s">
        <v>411</v>
      </c>
      <c r="H102" s="5" t="s">
        <v>412</v>
      </c>
      <c r="I102" s="5" t="s">
        <v>24</v>
      </c>
      <c r="J102" s="5" t="s">
        <v>413</v>
      </c>
    </row>
    <row r="103" spans="1:11">
      <c r="A103" s="5" t="s">
        <v>279</v>
      </c>
      <c r="B103" s="5" t="s">
        <v>50</v>
      </c>
      <c r="C103" s="5" t="s">
        <v>51</v>
      </c>
      <c r="D103" s="5">
        <v>1</v>
      </c>
      <c r="E103" s="5" t="s">
        <v>414</v>
      </c>
      <c r="F103" s="2">
        <v>45330</v>
      </c>
      <c r="G103" s="2">
        <v>45331</v>
      </c>
      <c r="H103" s="5" t="s">
        <v>415</v>
      </c>
      <c r="I103" s="5" t="s">
        <v>31</v>
      </c>
      <c r="J103" s="5" t="s">
        <v>416</v>
      </c>
    </row>
    <row r="104" spans="1:11">
      <c r="A104" s="5" t="s">
        <v>303</v>
      </c>
      <c r="B104" s="5" t="s">
        <v>79</v>
      </c>
      <c r="C104" s="5" t="s">
        <v>80</v>
      </c>
      <c r="D104" s="5">
        <v>2</v>
      </c>
      <c r="E104" s="5" t="s">
        <v>417</v>
      </c>
      <c r="F104" s="2">
        <v>44989</v>
      </c>
      <c r="G104" s="2">
        <v>45000</v>
      </c>
      <c r="H104" s="5" t="s">
        <v>357</v>
      </c>
      <c r="I104" s="5" t="s">
        <v>24</v>
      </c>
      <c r="J104" s="5" t="s">
        <v>418</v>
      </c>
    </row>
    <row r="105" spans="1:11">
      <c r="A105" s="5" t="s">
        <v>135</v>
      </c>
      <c r="B105" s="5" t="s">
        <v>95</v>
      </c>
      <c r="C105" s="5" t="s">
        <v>96</v>
      </c>
      <c r="D105" s="5">
        <v>1</v>
      </c>
      <c r="E105" s="5" t="s">
        <v>419</v>
      </c>
      <c r="F105" s="2">
        <v>45005</v>
      </c>
      <c r="G105" s="2">
        <v>45012</v>
      </c>
      <c r="H105" s="5" t="s">
        <v>262</v>
      </c>
      <c r="I105" s="5" t="s">
        <v>46</v>
      </c>
      <c r="J105" s="5" t="s">
        <v>420</v>
      </c>
      <c r="K105" s="5" t="s">
        <v>26</v>
      </c>
    </row>
    <row r="106" spans="1:11">
      <c r="A106" s="5" t="s">
        <v>349</v>
      </c>
      <c r="B106" s="5" t="s">
        <v>421</v>
      </c>
      <c r="C106" s="5" t="s">
        <v>422</v>
      </c>
      <c r="D106" s="5">
        <v>9</v>
      </c>
      <c r="E106" s="5" t="s">
        <v>423</v>
      </c>
      <c r="F106" s="3">
        <v>45248</v>
      </c>
      <c r="G106" s="1" t="s">
        <v>424</v>
      </c>
      <c r="H106" s="5" t="s">
        <v>207</v>
      </c>
      <c r="I106" s="5" t="s">
        <v>111</v>
      </c>
      <c r="J106" s="5" t="s">
        <v>425</v>
      </c>
      <c r="K106" s="5" t="s">
        <v>33</v>
      </c>
    </row>
    <row r="107" spans="1:11">
      <c r="A107" s="5" t="s">
        <v>135</v>
      </c>
      <c r="B107" s="5" t="s">
        <v>167</v>
      </c>
      <c r="C107" s="5" t="s">
        <v>168</v>
      </c>
      <c r="D107" s="5">
        <v>7</v>
      </c>
      <c r="E107" s="5" t="s">
        <v>426</v>
      </c>
      <c r="F107" s="1" t="s">
        <v>427</v>
      </c>
      <c r="G107" s="3">
        <v>45137</v>
      </c>
      <c r="H107" s="5" t="s">
        <v>207</v>
      </c>
      <c r="I107" s="5" t="s">
        <v>16</v>
      </c>
      <c r="J107" s="5" t="s">
        <v>428</v>
      </c>
      <c r="K107" s="5" t="s">
        <v>33</v>
      </c>
    </row>
    <row r="108" spans="1:11">
      <c r="A108" s="5" t="s">
        <v>166</v>
      </c>
      <c r="B108" s="5" t="s">
        <v>177</v>
      </c>
      <c r="C108" s="5" t="s">
        <v>178</v>
      </c>
      <c r="D108" s="5">
        <v>3</v>
      </c>
      <c r="E108" s="5" t="s">
        <v>429</v>
      </c>
      <c r="F108" s="3">
        <v>45325</v>
      </c>
      <c r="G108" s="2">
        <v>45327</v>
      </c>
      <c r="H108" s="5" t="s">
        <v>180</v>
      </c>
      <c r="I108" s="5" t="s">
        <v>16</v>
      </c>
      <c r="J108" s="5" t="s">
        <v>430</v>
      </c>
    </row>
    <row r="109" spans="1:11">
      <c r="A109" s="5" t="s">
        <v>381</v>
      </c>
      <c r="B109" s="5" t="s">
        <v>431</v>
      </c>
      <c r="C109" s="5" t="s">
        <v>432</v>
      </c>
      <c r="D109" s="5">
        <v>1</v>
      </c>
      <c r="E109" s="5" t="s">
        <v>433</v>
      </c>
      <c r="F109" s="3" t="s">
        <v>434</v>
      </c>
      <c r="G109" s="3">
        <v>45178</v>
      </c>
      <c r="H109" s="5" t="s">
        <v>71</v>
      </c>
      <c r="I109" s="5" t="s">
        <v>46</v>
      </c>
      <c r="J109" s="5" t="s">
        <v>435</v>
      </c>
      <c r="K109" s="5" t="s">
        <v>48</v>
      </c>
    </row>
    <row r="110" spans="1:11">
      <c r="A110" s="5" t="s">
        <v>161</v>
      </c>
      <c r="B110" s="5" t="s">
        <v>185</v>
      </c>
      <c r="C110" s="5" t="s">
        <v>186</v>
      </c>
      <c r="D110" s="5">
        <v>1</v>
      </c>
      <c r="E110" s="5" t="s">
        <v>436</v>
      </c>
      <c r="F110" s="2">
        <v>45251</v>
      </c>
      <c r="G110" s="2">
        <v>45256</v>
      </c>
      <c r="H110" s="5" t="s">
        <v>98</v>
      </c>
      <c r="I110" s="5" t="s">
        <v>31</v>
      </c>
      <c r="J110" s="5" t="s">
        <v>437</v>
      </c>
    </row>
    <row r="111" spans="1:11">
      <c r="A111" s="5" t="s">
        <v>85</v>
      </c>
      <c r="B111" s="5" t="s">
        <v>251</v>
      </c>
      <c r="C111" s="5" t="s">
        <v>252</v>
      </c>
      <c r="D111" s="5">
        <v>4</v>
      </c>
      <c r="E111" s="5" t="s">
        <v>438</v>
      </c>
      <c r="F111" s="2">
        <v>45440</v>
      </c>
      <c r="G111" s="1" t="s">
        <v>439</v>
      </c>
      <c r="H111" s="5" t="s">
        <v>15</v>
      </c>
      <c r="I111" s="5" t="s">
        <v>46</v>
      </c>
      <c r="J111" s="5" t="s">
        <v>440</v>
      </c>
      <c r="K111" s="5" t="s">
        <v>18</v>
      </c>
    </row>
    <row r="112" spans="1:11">
      <c r="A112" s="5" t="s">
        <v>61</v>
      </c>
      <c r="B112" s="5" t="s">
        <v>35</v>
      </c>
      <c r="C112" s="5" t="s">
        <v>36</v>
      </c>
      <c r="D112" s="5">
        <v>5</v>
      </c>
      <c r="E112" s="5" t="s">
        <v>441</v>
      </c>
      <c r="F112" s="2">
        <v>45171</v>
      </c>
      <c r="G112" s="2">
        <v>45175</v>
      </c>
      <c r="H112" s="5" t="s">
        <v>442</v>
      </c>
      <c r="I112" s="5" t="s">
        <v>16</v>
      </c>
      <c r="J112" s="5" t="s">
        <v>443</v>
      </c>
      <c r="K112" s="5" t="s">
        <v>48</v>
      </c>
    </row>
    <row r="113" spans="1:11">
      <c r="A113" s="5" t="s">
        <v>444</v>
      </c>
      <c r="B113" s="5" t="s">
        <v>106</v>
      </c>
      <c r="C113" s="5" t="s">
        <v>107</v>
      </c>
      <c r="D113" s="5">
        <v>7</v>
      </c>
      <c r="E113" s="5" t="s">
        <v>445</v>
      </c>
      <c r="F113" s="2">
        <v>45291</v>
      </c>
      <c r="G113" s="2" t="s">
        <v>446</v>
      </c>
      <c r="H113" s="5" t="s">
        <v>87</v>
      </c>
      <c r="I113" s="5" t="s">
        <v>111</v>
      </c>
      <c r="J113" s="5" t="s">
        <v>447</v>
      </c>
      <c r="K113" s="5" t="s">
        <v>33</v>
      </c>
    </row>
    <row r="114" spans="1:11">
      <c r="A114" s="5" t="s">
        <v>139</v>
      </c>
      <c r="B114" s="5" t="s">
        <v>12</v>
      </c>
      <c r="C114" s="5" t="s">
        <v>13</v>
      </c>
      <c r="D114" s="5">
        <v>4</v>
      </c>
      <c r="E114" s="5" t="s">
        <v>448</v>
      </c>
      <c r="F114" s="2">
        <v>45040</v>
      </c>
      <c r="G114" s="3">
        <v>45054</v>
      </c>
      <c r="H114" s="5" t="s">
        <v>248</v>
      </c>
      <c r="I114" s="5" t="s">
        <v>46</v>
      </c>
      <c r="J114" s="5" t="s">
        <v>449</v>
      </c>
      <c r="K114" s="5" t="s">
        <v>33</v>
      </c>
    </row>
    <row r="115" spans="1:11">
      <c r="A115" s="5" t="s">
        <v>299</v>
      </c>
      <c r="B115" s="5" t="s">
        <v>251</v>
      </c>
      <c r="C115" s="5" t="s">
        <v>252</v>
      </c>
      <c r="D115" s="5">
        <v>1</v>
      </c>
      <c r="E115" s="5" t="s">
        <v>450</v>
      </c>
      <c r="F115" s="3">
        <v>45456</v>
      </c>
      <c r="G115" s="2">
        <v>45460</v>
      </c>
      <c r="H115" s="5" t="s">
        <v>76</v>
      </c>
      <c r="I115" s="5" t="s">
        <v>24</v>
      </c>
      <c r="K115" s="5" t="s">
        <v>26</v>
      </c>
    </row>
    <row r="116" spans="1:11">
      <c r="A116" s="5" t="s">
        <v>303</v>
      </c>
      <c r="B116" s="5" t="s">
        <v>451</v>
      </c>
      <c r="C116" s="5" t="s">
        <v>452</v>
      </c>
      <c r="D116" s="5">
        <v>4</v>
      </c>
      <c r="E116" s="5" t="s">
        <v>453</v>
      </c>
      <c r="F116" s="2">
        <v>45002</v>
      </c>
      <c r="G116" s="3">
        <v>45015</v>
      </c>
      <c r="H116" s="5" t="s">
        <v>98</v>
      </c>
      <c r="I116" s="5" t="s">
        <v>24</v>
      </c>
      <c r="J116" s="5" t="s">
        <v>454</v>
      </c>
      <c r="K116" s="5" t="s">
        <v>33</v>
      </c>
    </row>
    <row r="117" spans="1:11">
      <c r="A117" s="5" t="s">
        <v>455</v>
      </c>
      <c r="B117" s="5" t="s">
        <v>143</v>
      </c>
      <c r="C117" s="5" t="s">
        <v>144</v>
      </c>
      <c r="D117" s="5">
        <v>7</v>
      </c>
      <c r="E117" s="5" t="s">
        <v>456</v>
      </c>
      <c r="F117" s="2">
        <v>44970</v>
      </c>
      <c r="G117" s="2">
        <v>44978</v>
      </c>
      <c r="H117" s="5" t="s">
        <v>180</v>
      </c>
      <c r="I117" s="5" t="s">
        <v>111</v>
      </c>
      <c r="J117" s="5" t="s">
        <v>457</v>
      </c>
      <c r="K117" s="5" t="s">
        <v>33</v>
      </c>
    </row>
    <row r="118" spans="1:11">
      <c r="A118" s="5" t="s">
        <v>166</v>
      </c>
      <c r="B118" s="5" t="s">
        <v>167</v>
      </c>
      <c r="C118" s="5" t="s">
        <v>168</v>
      </c>
      <c r="D118" s="5">
        <v>4</v>
      </c>
      <c r="E118" s="5" t="s">
        <v>458</v>
      </c>
      <c r="F118" s="2">
        <v>44992</v>
      </c>
      <c r="G118" s="2">
        <v>44999</v>
      </c>
      <c r="H118" s="5" t="s">
        <v>87</v>
      </c>
      <c r="I118" s="5" t="s">
        <v>111</v>
      </c>
      <c r="J118" s="5" t="s">
        <v>459</v>
      </c>
    </row>
    <row r="119" spans="1:11">
      <c r="A119" s="5" t="s">
        <v>460</v>
      </c>
      <c r="B119" s="5" t="s">
        <v>451</v>
      </c>
      <c r="C119" s="5" t="s">
        <v>452</v>
      </c>
      <c r="D119" s="5">
        <v>6</v>
      </c>
      <c r="E119" s="5" t="s">
        <v>461</v>
      </c>
      <c r="F119" s="1" t="s">
        <v>133</v>
      </c>
      <c r="G119" s="2" t="s">
        <v>462</v>
      </c>
      <c r="H119" s="5" t="s">
        <v>415</v>
      </c>
      <c r="I119" s="5" t="s">
        <v>111</v>
      </c>
      <c r="J119" s="5" t="s">
        <v>463</v>
      </c>
    </row>
    <row r="120" spans="1:11">
      <c r="A120" s="5" t="s">
        <v>299</v>
      </c>
      <c r="B120" s="5" t="s">
        <v>50</v>
      </c>
      <c r="C120" s="5" t="s">
        <v>51</v>
      </c>
      <c r="D120" s="5">
        <v>8</v>
      </c>
      <c r="E120" s="5" t="s">
        <v>464</v>
      </c>
      <c r="F120" s="2">
        <v>45233</v>
      </c>
      <c r="G120" s="3">
        <v>45240</v>
      </c>
      <c r="H120" s="5" t="s">
        <v>207</v>
      </c>
      <c r="I120" s="5" t="s">
        <v>46</v>
      </c>
      <c r="J120" s="5" t="s">
        <v>465</v>
      </c>
    </row>
    <row r="121" spans="1:11">
      <c r="A121" s="5" t="s">
        <v>349</v>
      </c>
      <c r="B121" s="5" t="s">
        <v>265</v>
      </c>
      <c r="C121" s="5" t="s">
        <v>266</v>
      </c>
      <c r="D121" s="5">
        <v>1</v>
      </c>
      <c r="E121" s="5" t="s">
        <v>466</v>
      </c>
      <c r="F121" s="3">
        <v>45214</v>
      </c>
      <c r="G121" s="2">
        <v>45216</v>
      </c>
      <c r="H121" s="5" t="s">
        <v>415</v>
      </c>
      <c r="I121" s="5" t="s">
        <v>111</v>
      </c>
      <c r="J121" s="5" t="s">
        <v>467</v>
      </c>
      <c r="K121" s="5" t="s">
        <v>18</v>
      </c>
    </row>
    <row r="122" spans="1:11">
      <c r="A122" s="5" t="s">
        <v>49</v>
      </c>
      <c r="B122" s="5" t="s">
        <v>79</v>
      </c>
      <c r="C122" s="5" t="s">
        <v>80</v>
      </c>
      <c r="D122" s="5">
        <v>2</v>
      </c>
      <c r="E122" s="5" t="s">
        <v>468</v>
      </c>
      <c r="F122" s="2">
        <v>44958</v>
      </c>
      <c r="G122" s="3" t="s">
        <v>469</v>
      </c>
      <c r="H122" s="5" t="s">
        <v>207</v>
      </c>
      <c r="I122" s="5" t="s">
        <v>46</v>
      </c>
      <c r="J122" s="5" t="s">
        <v>470</v>
      </c>
    </row>
    <row r="123" spans="1:11">
      <c r="A123" s="5" t="s">
        <v>250</v>
      </c>
      <c r="B123" s="5" t="s">
        <v>210</v>
      </c>
      <c r="C123" s="5" t="s">
        <v>211</v>
      </c>
      <c r="D123" s="5">
        <v>2</v>
      </c>
      <c r="E123" s="5" t="s">
        <v>471</v>
      </c>
      <c r="F123" s="2">
        <v>44952</v>
      </c>
      <c r="G123" s="1" t="s">
        <v>472</v>
      </c>
      <c r="H123" s="5" t="s">
        <v>146</v>
      </c>
      <c r="I123" s="5" t="s">
        <v>24</v>
      </c>
      <c r="J123" s="5" t="s">
        <v>473</v>
      </c>
      <c r="K123" s="5" t="s">
        <v>48</v>
      </c>
    </row>
    <row r="124" spans="1:11">
      <c r="A124" s="5" t="s">
        <v>320</v>
      </c>
      <c r="B124" s="5" t="s">
        <v>321</v>
      </c>
      <c r="C124" s="5" t="s">
        <v>322</v>
      </c>
      <c r="D124" s="5">
        <v>9</v>
      </c>
      <c r="E124" s="5" t="s">
        <v>474</v>
      </c>
      <c r="F124" s="2">
        <v>45459</v>
      </c>
      <c r="G124" s="2">
        <v>45462</v>
      </c>
      <c r="H124" s="5" t="s">
        <v>412</v>
      </c>
      <c r="I124" s="5" t="s">
        <v>46</v>
      </c>
      <c r="J124" s="5" t="s">
        <v>475</v>
      </c>
      <c r="K124" s="5" t="s">
        <v>48</v>
      </c>
    </row>
    <row r="125" spans="1:11">
      <c r="A125" s="5" t="s">
        <v>381</v>
      </c>
      <c r="B125" s="5" t="s">
        <v>12</v>
      </c>
      <c r="C125" s="5" t="s">
        <v>13</v>
      </c>
      <c r="D125" s="5">
        <v>7</v>
      </c>
      <c r="E125" s="5" t="s">
        <v>476</v>
      </c>
      <c r="F125" s="2">
        <v>45042</v>
      </c>
      <c r="G125" s="2">
        <v>45051</v>
      </c>
      <c r="H125" s="5" t="s">
        <v>415</v>
      </c>
      <c r="I125" s="5" t="s">
        <v>31</v>
      </c>
      <c r="J125" s="5" t="s">
        <v>477</v>
      </c>
    </row>
    <row r="126" spans="1:11">
      <c r="A126" s="5" t="s">
        <v>34</v>
      </c>
      <c r="B126" s="5" t="s">
        <v>354</v>
      </c>
      <c r="C126" s="5" t="s">
        <v>355</v>
      </c>
      <c r="D126" s="5">
        <v>10</v>
      </c>
      <c r="E126" s="5" t="s">
        <v>478</v>
      </c>
      <c r="F126" s="2">
        <v>45087</v>
      </c>
      <c r="G126" s="1" t="s">
        <v>479</v>
      </c>
      <c r="H126" s="5" t="s">
        <v>23</v>
      </c>
      <c r="I126" s="5" t="s">
        <v>16</v>
      </c>
      <c r="J126" s="5" t="s">
        <v>480</v>
      </c>
    </row>
    <row r="127" spans="1:11">
      <c r="A127" s="5" t="s">
        <v>166</v>
      </c>
      <c r="B127" s="5" t="s">
        <v>265</v>
      </c>
      <c r="C127" s="5" t="s">
        <v>266</v>
      </c>
      <c r="D127" s="5">
        <v>5</v>
      </c>
      <c r="E127" s="5" t="s">
        <v>481</v>
      </c>
      <c r="F127" s="2">
        <v>45219</v>
      </c>
      <c r="G127" s="2">
        <v>45233</v>
      </c>
      <c r="H127" s="5" t="s">
        <v>65</v>
      </c>
      <c r="I127" s="5" t="s">
        <v>16</v>
      </c>
      <c r="J127" s="5" t="s">
        <v>482</v>
      </c>
      <c r="K127" s="5" t="s">
        <v>48</v>
      </c>
    </row>
    <row r="128" spans="1:11">
      <c r="A128" s="5" t="s">
        <v>100</v>
      </c>
      <c r="B128" s="5" t="s">
        <v>43</v>
      </c>
      <c r="C128" s="5" t="s">
        <v>44</v>
      </c>
      <c r="D128" s="5">
        <v>7</v>
      </c>
      <c r="E128" s="5" t="s">
        <v>483</v>
      </c>
      <c r="F128" s="2">
        <v>45338</v>
      </c>
      <c r="G128" s="2">
        <v>45339</v>
      </c>
      <c r="H128" s="5" t="s">
        <v>442</v>
      </c>
      <c r="I128" s="5" t="s">
        <v>24</v>
      </c>
      <c r="J128" s="5" t="s">
        <v>484</v>
      </c>
    </row>
    <row r="129" spans="1:11">
      <c r="A129" s="5" t="s">
        <v>485</v>
      </c>
      <c r="B129" s="5" t="s">
        <v>431</v>
      </c>
      <c r="C129" s="5" t="s">
        <v>432</v>
      </c>
      <c r="D129" s="5">
        <v>7</v>
      </c>
      <c r="E129" s="5" t="s">
        <v>486</v>
      </c>
      <c r="F129" s="2">
        <v>45292</v>
      </c>
      <c r="G129" s="1" t="s">
        <v>487</v>
      </c>
      <c r="H129" s="5" t="s">
        <v>65</v>
      </c>
      <c r="I129" s="5" t="s">
        <v>16</v>
      </c>
      <c r="J129" s="5" t="s">
        <v>488</v>
      </c>
    </row>
    <row r="130" spans="1:11">
      <c r="A130" s="5" t="s">
        <v>184</v>
      </c>
      <c r="B130" s="5" t="s">
        <v>68</v>
      </c>
      <c r="C130" s="5" t="s">
        <v>69</v>
      </c>
      <c r="D130" s="5">
        <v>5</v>
      </c>
      <c r="E130" s="5" t="s">
        <v>489</v>
      </c>
      <c r="F130" s="3">
        <v>45347</v>
      </c>
      <c r="G130" s="3">
        <v>45354</v>
      </c>
      <c r="H130" s="5" t="s">
        <v>71</v>
      </c>
      <c r="I130" s="5" t="s">
        <v>46</v>
      </c>
      <c r="J130" s="5" t="s">
        <v>490</v>
      </c>
    </row>
    <row r="131" spans="1:11">
      <c r="A131" s="5" t="s">
        <v>239</v>
      </c>
      <c r="B131" s="5" t="s">
        <v>50</v>
      </c>
      <c r="C131" s="5" t="s">
        <v>51</v>
      </c>
      <c r="D131" s="5">
        <v>6</v>
      </c>
      <c r="E131" s="5" t="s">
        <v>491</v>
      </c>
      <c r="F131" s="2">
        <v>45075</v>
      </c>
      <c r="G131" s="3" t="s">
        <v>492</v>
      </c>
      <c r="H131" s="5" t="s">
        <v>262</v>
      </c>
      <c r="I131" s="5" t="s">
        <v>24</v>
      </c>
      <c r="J131" s="5" t="s">
        <v>493</v>
      </c>
    </row>
    <row r="132" spans="1:11">
      <c r="A132" s="5" t="s">
        <v>42</v>
      </c>
      <c r="B132" s="5" t="s">
        <v>431</v>
      </c>
      <c r="C132" s="5" t="s">
        <v>432</v>
      </c>
      <c r="D132" s="5">
        <v>6</v>
      </c>
      <c r="E132" s="5" t="s">
        <v>494</v>
      </c>
      <c r="F132" s="2">
        <v>45362</v>
      </c>
      <c r="G132" s="1" t="s">
        <v>495</v>
      </c>
      <c r="H132" s="5" t="s">
        <v>40</v>
      </c>
      <c r="I132" s="5" t="s">
        <v>31</v>
      </c>
      <c r="J132" s="5" t="s">
        <v>496</v>
      </c>
    </row>
    <row r="133" spans="1:11">
      <c r="A133" s="5" t="s">
        <v>61</v>
      </c>
      <c r="B133" s="5" t="s">
        <v>20</v>
      </c>
      <c r="C133" s="5" t="s">
        <v>21</v>
      </c>
      <c r="D133" s="5">
        <v>3</v>
      </c>
      <c r="E133" s="5" t="s">
        <v>497</v>
      </c>
      <c r="F133" s="3">
        <v>45114</v>
      </c>
      <c r="G133" s="2">
        <v>45117</v>
      </c>
      <c r="H133" s="5" t="s">
        <v>65</v>
      </c>
      <c r="I133" s="5" t="s">
        <v>46</v>
      </c>
      <c r="J133" s="5" t="s">
        <v>498</v>
      </c>
    </row>
    <row r="134" spans="1:11">
      <c r="A134" s="5" t="s">
        <v>403</v>
      </c>
      <c r="B134" s="5" t="s">
        <v>350</v>
      </c>
      <c r="C134" s="5" t="s">
        <v>351</v>
      </c>
      <c r="D134" s="5">
        <v>5</v>
      </c>
      <c r="E134" s="5" t="s">
        <v>499</v>
      </c>
      <c r="F134" s="3">
        <v>45457</v>
      </c>
      <c r="G134" s="3">
        <v>45470</v>
      </c>
      <c r="H134" s="5" t="s">
        <v>65</v>
      </c>
      <c r="I134" s="5" t="s">
        <v>111</v>
      </c>
      <c r="J134" s="5" t="s">
        <v>500</v>
      </c>
    </row>
    <row r="135" spans="1:11">
      <c r="A135" s="5" t="s">
        <v>34</v>
      </c>
      <c r="B135" s="5" t="s">
        <v>350</v>
      </c>
      <c r="C135" s="5" t="s">
        <v>351</v>
      </c>
      <c r="D135" s="5">
        <v>10</v>
      </c>
      <c r="E135" s="5" t="s">
        <v>501</v>
      </c>
      <c r="F135" s="3" t="s">
        <v>502</v>
      </c>
      <c r="G135" s="2">
        <v>45454</v>
      </c>
      <c r="H135" s="5" t="s">
        <v>180</v>
      </c>
      <c r="I135" s="5" t="s">
        <v>31</v>
      </c>
    </row>
    <row r="136" spans="1:11">
      <c r="A136" s="5" t="s">
        <v>460</v>
      </c>
      <c r="B136" s="5" t="s">
        <v>101</v>
      </c>
      <c r="C136" s="5" t="s">
        <v>102</v>
      </c>
      <c r="D136" s="5">
        <v>1</v>
      </c>
      <c r="E136" s="5" t="s">
        <v>503</v>
      </c>
      <c r="F136" s="2">
        <v>45042</v>
      </c>
      <c r="G136" s="2" t="s">
        <v>286</v>
      </c>
      <c r="H136" s="5" t="s">
        <v>159</v>
      </c>
      <c r="I136" s="5" t="s">
        <v>46</v>
      </c>
      <c r="J136" s="5" t="s">
        <v>504</v>
      </c>
    </row>
    <row r="137" spans="1:11">
      <c r="A137" s="5" t="s">
        <v>460</v>
      </c>
      <c r="B137" s="5" t="s">
        <v>62</v>
      </c>
      <c r="C137" s="5" t="s">
        <v>63</v>
      </c>
      <c r="D137" s="5">
        <v>9</v>
      </c>
      <c r="E137" s="5" t="s">
        <v>505</v>
      </c>
      <c r="F137" s="2">
        <v>45071</v>
      </c>
      <c r="G137" s="3">
        <v>45073</v>
      </c>
      <c r="H137" s="5" t="s">
        <v>116</v>
      </c>
      <c r="I137" s="5" t="s">
        <v>111</v>
      </c>
      <c r="J137" s="5" t="s">
        <v>506</v>
      </c>
      <c r="K137" s="5" t="s">
        <v>33</v>
      </c>
    </row>
    <row r="138" spans="1:11">
      <c r="A138" s="5" t="s">
        <v>221</v>
      </c>
      <c r="B138" s="5" t="s">
        <v>177</v>
      </c>
      <c r="C138" s="5" t="s">
        <v>178</v>
      </c>
      <c r="D138" s="5">
        <v>5</v>
      </c>
      <c r="E138" s="5" t="s">
        <v>507</v>
      </c>
      <c r="F138" s="2">
        <v>45436</v>
      </c>
      <c r="G138" s="3">
        <v>45446</v>
      </c>
      <c r="H138" s="5" t="s">
        <v>180</v>
      </c>
      <c r="I138" s="5" t="s">
        <v>46</v>
      </c>
      <c r="J138" s="5" t="s">
        <v>508</v>
      </c>
    </row>
    <row r="139" spans="1:11">
      <c r="A139" s="5" t="s">
        <v>131</v>
      </c>
      <c r="B139" s="5" t="s">
        <v>156</v>
      </c>
      <c r="C139" s="5" t="s">
        <v>157</v>
      </c>
      <c r="D139" s="5">
        <v>5</v>
      </c>
      <c r="E139" s="5" t="s">
        <v>509</v>
      </c>
      <c r="F139" s="3">
        <v>45227</v>
      </c>
      <c r="G139" s="3">
        <v>45231</v>
      </c>
      <c r="H139" s="5" t="s">
        <v>510</v>
      </c>
      <c r="I139" s="5" t="s">
        <v>24</v>
      </c>
      <c r="J139" s="5" t="s">
        <v>511</v>
      </c>
    </row>
    <row r="140" spans="1:11">
      <c r="A140" s="5" t="s">
        <v>349</v>
      </c>
      <c r="B140" s="5" t="s">
        <v>271</v>
      </c>
      <c r="C140" s="5" t="s">
        <v>272</v>
      </c>
      <c r="D140" s="5">
        <v>1</v>
      </c>
      <c r="E140" s="5" t="s">
        <v>512</v>
      </c>
      <c r="F140" s="2">
        <v>45133</v>
      </c>
      <c r="G140" s="3">
        <v>45147</v>
      </c>
      <c r="H140" s="5" t="s">
        <v>412</v>
      </c>
      <c r="I140" s="5" t="s">
        <v>46</v>
      </c>
      <c r="J140" s="5" t="s">
        <v>513</v>
      </c>
    </row>
    <row r="141" spans="1:11">
      <c r="A141" s="5" t="s">
        <v>308</v>
      </c>
      <c r="B141" s="5" t="s">
        <v>156</v>
      </c>
      <c r="C141" s="5" t="s">
        <v>157</v>
      </c>
      <c r="D141" s="5">
        <v>5</v>
      </c>
      <c r="E141" s="5" t="s">
        <v>514</v>
      </c>
      <c r="F141" s="3">
        <v>45326</v>
      </c>
      <c r="G141" s="3">
        <v>45331</v>
      </c>
      <c r="H141" s="5" t="s">
        <v>65</v>
      </c>
      <c r="I141" s="5" t="s">
        <v>111</v>
      </c>
      <c r="J141" s="5" t="s">
        <v>515</v>
      </c>
    </row>
    <row r="142" spans="1:11">
      <c r="A142" s="5" t="s">
        <v>55</v>
      </c>
      <c r="B142" s="5" t="s">
        <v>12</v>
      </c>
      <c r="C142" s="5" t="s">
        <v>13</v>
      </c>
      <c r="D142" s="5">
        <v>10</v>
      </c>
      <c r="E142" s="5" t="s">
        <v>516</v>
      </c>
      <c r="F142" s="3">
        <v>45406</v>
      </c>
      <c r="G142" s="3">
        <v>45420</v>
      </c>
      <c r="H142" s="5" t="s">
        <v>15</v>
      </c>
      <c r="I142" s="5" t="s">
        <v>46</v>
      </c>
      <c r="J142" s="5" t="s">
        <v>517</v>
      </c>
      <c r="K142" s="5" t="s">
        <v>48</v>
      </c>
    </row>
    <row r="143" spans="1:11">
      <c r="A143" s="5" t="s">
        <v>73</v>
      </c>
      <c r="B143" s="5" t="s">
        <v>197</v>
      </c>
      <c r="C143" s="5" t="s">
        <v>198</v>
      </c>
      <c r="D143" s="5">
        <v>10</v>
      </c>
      <c r="E143" s="5" t="s">
        <v>518</v>
      </c>
      <c r="F143" s="2">
        <v>45281</v>
      </c>
      <c r="G143" s="2">
        <v>45283</v>
      </c>
      <c r="H143" s="5" t="s">
        <v>207</v>
      </c>
      <c r="I143" s="5" t="s">
        <v>46</v>
      </c>
      <c r="J143" s="5" t="s">
        <v>519</v>
      </c>
      <c r="K143" s="5" t="s">
        <v>26</v>
      </c>
    </row>
    <row r="144" spans="1:11">
      <c r="A144" s="5" t="s">
        <v>330</v>
      </c>
      <c r="B144" s="5" t="s">
        <v>210</v>
      </c>
      <c r="C144" s="5" t="s">
        <v>211</v>
      </c>
      <c r="D144" s="5">
        <v>5</v>
      </c>
      <c r="E144" s="5" t="s">
        <v>520</v>
      </c>
      <c r="F144" s="2">
        <v>45133</v>
      </c>
      <c r="G144" s="2">
        <v>45144</v>
      </c>
      <c r="H144" s="5" t="s">
        <v>149</v>
      </c>
      <c r="I144" s="5" t="s">
        <v>31</v>
      </c>
      <c r="J144" s="5" t="s">
        <v>521</v>
      </c>
    </row>
    <row r="145" spans="1:11">
      <c r="A145" s="5" t="s">
        <v>349</v>
      </c>
      <c r="B145" s="5" t="s">
        <v>210</v>
      </c>
      <c r="C145" s="5" t="s">
        <v>211</v>
      </c>
      <c r="D145" s="5">
        <v>2</v>
      </c>
      <c r="E145" s="5" t="s">
        <v>522</v>
      </c>
      <c r="F145" s="2">
        <v>45032</v>
      </c>
      <c r="G145" s="3">
        <v>45043</v>
      </c>
      <c r="H145" s="5" t="s">
        <v>523</v>
      </c>
      <c r="I145" s="5" t="s">
        <v>16</v>
      </c>
      <c r="J145" s="5" t="s">
        <v>386</v>
      </c>
      <c r="K145" s="5" t="s">
        <v>48</v>
      </c>
    </row>
    <row r="146" spans="1:11">
      <c r="A146" s="5" t="s">
        <v>171</v>
      </c>
      <c r="B146" s="5" t="s">
        <v>251</v>
      </c>
      <c r="C146" s="5" t="s">
        <v>252</v>
      </c>
      <c r="D146" s="5">
        <v>6</v>
      </c>
      <c r="E146" s="5" t="s">
        <v>524</v>
      </c>
      <c r="F146" s="2">
        <v>45104</v>
      </c>
      <c r="G146" s="3" t="s">
        <v>525</v>
      </c>
      <c r="H146" s="5" t="s">
        <v>159</v>
      </c>
      <c r="I146" s="5" t="s">
        <v>16</v>
      </c>
      <c r="J146" s="5" t="s">
        <v>526</v>
      </c>
      <c r="K146" s="5" t="s">
        <v>26</v>
      </c>
    </row>
    <row r="147" spans="1:11">
      <c r="A147" s="5" t="s">
        <v>346</v>
      </c>
      <c r="B147" s="5" t="s">
        <v>393</v>
      </c>
      <c r="C147" s="5" t="s">
        <v>394</v>
      </c>
      <c r="D147" s="5">
        <v>5</v>
      </c>
      <c r="E147" s="5" t="s">
        <v>527</v>
      </c>
      <c r="F147" s="1" t="s">
        <v>528</v>
      </c>
      <c r="G147" s="2" t="s">
        <v>529</v>
      </c>
      <c r="H147" s="5" t="s">
        <v>192</v>
      </c>
      <c r="I147" s="5" t="s">
        <v>24</v>
      </c>
      <c r="J147" s="5" t="s">
        <v>530</v>
      </c>
    </row>
    <row r="148" spans="1:11">
      <c r="A148" s="5" t="s">
        <v>531</v>
      </c>
      <c r="B148" s="5" t="s">
        <v>271</v>
      </c>
      <c r="C148" s="5" t="s">
        <v>272</v>
      </c>
      <c r="D148" s="5">
        <v>2</v>
      </c>
      <c r="E148" s="5" t="s">
        <v>532</v>
      </c>
      <c r="F148" s="2">
        <v>44938</v>
      </c>
      <c r="G148" s="3">
        <v>44949</v>
      </c>
      <c r="H148" s="5" t="s">
        <v>122</v>
      </c>
      <c r="I148" s="5" t="s">
        <v>111</v>
      </c>
      <c r="J148" s="5" t="s">
        <v>533</v>
      </c>
    </row>
    <row r="149" spans="1:11">
      <c r="A149" s="5" t="s">
        <v>194</v>
      </c>
      <c r="B149" s="5" t="s">
        <v>43</v>
      </c>
      <c r="C149" s="5" t="s">
        <v>44</v>
      </c>
      <c r="D149" s="5">
        <v>3</v>
      </c>
      <c r="E149" s="5" t="s">
        <v>534</v>
      </c>
      <c r="F149" s="2" t="s">
        <v>535</v>
      </c>
      <c r="G149" s="3">
        <v>45412</v>
      </c>
      <c r="H149" s="5" t="s">
        <v>98</v>
      </c>
      <c r="I149" s="5" t="s">
        <v>31</v>
      </c>
      <c r="J149" s="5" t="s">
        <v>536</v>
      </c>
    </row>
    <row r="150" spans="1:11">
      <c r="A150" s="5" t="s">
        <v>27</v>
      </c>
      <c r="B150" s="5" t="s">
        <v>185</v>
      </c>
      <c r="C150" s="5" t="s">
        <v>186</v>
      </c>
      <c r="D150" s="5">
        <v>10</v>
      </c>
      <c r="E150" s="5" t="s">
        <v>537</v>
      </c>
      <c r="F150" s="1" t="s">
        <v>538</v>
      </c>
      <c r="G150" s="3">
        <v>45158</v>
      </c>
      <c r="H150" s="5" t="s">
        <v>122</v>
      </c>
      <c r="I150" s="5" t="s">
        <v>111</v>
      </c>
      <c r="J150" s="5" t="s">
        <v>539</v>
      </c>
    </row>
    <row r="151" spans="1:11">
      <c r="A151" s="5" t="s">
        <v>131</v>
      </c>
      <c r="B151" s="5" t="s">
        <v>315</v>
      </c>
      <c r="C151" s="5" t="s">
        <v>316</v>
      </c>
      <c r="D151" s="5">
        <v>9</v>
      </c>
      <c r="E151" s="5" t="s">
        <v>540</v>
      </c>
      <c r="F151" s="2">
        <v>44934</v>
      </c>
      <c r="G151" s="3" t="s">
        <v>541</v>
      </c>
      <c r="H151" s="5" t="s">
        <v>87</v>
      </c>
      <c r="I151" s="5" t="s">
        <v>24</v>
      </c>
      <c r="J151" s="5" t="s">
        <v>542</v>
      </c>
      <c r="K151" s="5" t="s">
        <v>18</v>
      </c>
    </row>
    <row r="152" spans="1:11">
      <c r="A152" s="5" t="s">
        <v>61</v>
      </c>
      <c r="B152" s="5" t="s">
        <v>79</v>
      </c>
      <c r="C152" s="5" t="s">
        <v>80</v>
      </c>
      <c r="D152" s="5">
        <v>10</v>
      </c>
      <c r="E152" s="5" t="s">
        <v>325</v>
      </c>
      <c r="F152" s="2">
        <v>45258</v>
      </c>
      <c r="G152" s="2">
        <v>45270</v>
      </c>
      <c r="H152" s="5" t="s">
        <v>248</v>
      </c>
      <c r="I152" s="5" t="s">
        <v>31</v>
      </c>
      <c r="J152" s="5" t="s">
        <v>326</v>
      </c>
      <c r="K152" s="5" t="s">
        <v>48</v>
      </c>
    </row>
    <row r="153" spans="1:11">
      <c r="A153" s="5" t="s">
        <v>55</v>
      </c>
      <c r="B153" s="5" t="s">
        <v>177</v>
      </c>
      <c r="C153" s="5" t="s">
        <v>178</v>
      </c>
      <c r="D153" s="5">
        <v>5</v>
      </c>
      <c r="E153" s="5" t="s">
        <v>190</v>
      </c>
      <c r="F153" s="2">
        <v>45263</v>
      </c>
      <c r="G153" s="3">
        <v>45275</v>
      </c>
      <c r="H153" s="5" t="s">
        <v>192</v>
      </c>
      <c r="I153" s="5" t="s">
        <v>111</v>
      </c>
      <c r="J153" s="5" t="s">
        <v>193</v>
      </c>
    </row>
    <row r="154" spans="1:11">
      <c r="A154" s="5" t="s">
        <v>49</v>
      </c>
      <c r="B154" s="5" t="s">
        <v>50</v>
      </c>
      <c r="C154" s="5" t="s">
        <v>51</v>
      </c>
      <c r="D154" s="5">
        <v>7</v>
      </c>
      <c r="E154" s="5" t="s">
        <v>52</v>
      </c>
      <c r="F154" s="2">
        <v>45345</v>
      </c>
      <c r="G154" s="2">
        <v>45356</v>
      </c>
      <c r="H154" s="5" t="s">
        <v>53</v>
      </c>
      <c r="I154" s="5" t="s">
        <v>16</v>
      </c>
      <c r="J154" s="5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16DF-3DCB-4157-859F-3182C73AD827}">
  <dimension ref="A1:X151"/>
  <sheetViews>
    <sheetView workbookViewId="0">
      <selection activeCell="L9" sqref="L9"/>
    </sheetView>
  </sheetViews>
  <sheetFormatPr defaultRowHeight="15"/>
  <cols>
    <col min="1" max="1" width="12.5703125" bestFit="1" customWidth="1"/>
    <col min="2" max="2" width="11.140625" bestFit="1" customWidth="1"/>
    <col min="3" max="3" width="20.140625" bestFit="1" customWidth="1"/>
    <col min="4" max="4" width="10.28515625" bestFit="1" customWidth="1"/>
    <col min="5" max="5" width="11" bestFit="1" customWidth="1"/>
    <col min="6" max="6" width="12" bestFit="1" customWidth="1"/>
    <col min="7" max="7" width="13.85546875" bestFit="1" customWidth="1"/>
    <col min="8" max="8" width="14" bestFit="1" customWidth="1"/>
    <col min="9" max="9" width="9.140625" bestFit="1" customWidth="1"/>
    <col min="10" max="10" width="17.85546875" bestFit="1" customWidth="1"/>
    <col min="11" max="11" width="13.42578125" bestFit="1" customWidth="1"/>
    <col min="13" max="13" width="14.5703125" bestFit="1" customWidth="1"/>
    <col min="14" max="14" width="28.85546875" bestFit="1" customWidth="1"/>
    <col min="15" max="15" width="18.42578125" bestFit="1" customWidth="1"/>
    <col min="16" max="16" width="19.7109375" bestFit="1" customWidth="1"/>
    <col min="17" max="17" width="20.140625" bestFit="1" customWidth="1"/>
    <col min="18" max="18" width="18" bestFit="1" customWidth="1"/>
    <col min="19" max="19" width="25.42578125" bestFit="1" customWidth="1"/>
    <col min="20" max="20" width="11.42578125" bestFit="1" customWidth="1"/>
    <col min="22" max="22" width="20.140625" bestFit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M1" s="17" t="s">
        <v>543</v>
      </c>
      <c r="N1" s="23" t="s">
        <v>544</v>
      </c>
      <c r="O1" s="23" t="s">
        <v>545</v>
      </c>
      <c r="P1" s="23" t="s">
        <v>546</v>
      </c>
      <c r="Q1" s="23" t="s">
        <v>547</v>
      </c>
      <c r="R1" s="23" t="s">
        <v>548</v>
      </c>
      <c r="S1" s="23" t="s">
        <v>549</v>
      </c>
      <c r="T1" s="23" t="s">
        <v>550</v>
      </c>
      <c r="V1" s="32" t="s">
        <v>551</v>
      </c>
      <c r="W1" s="32" t="s">
        <v>552</v>
      </c>
      <c r="X1" s="4"/>
    </row>
    <row r="2" spans="1:24">
      <c r="A2" s="4" t="s">
        <v>279</v>
      </c>
      <c r="B2" s="4" t="s">
        <v>79</v>
      </c>
      <c r="C2" s="4" t="s">
        <v>80</v>
      </c>
      <c r="D2" s="4">
        <v>4</v>
      </c>
      <c r="E2" s="13">
        <v>97.06</v>
      </c>
      <c r="F2" s="15">
        <v>45295</v>
      </c>
      <c r="G2" s="15">
        <v>45305</v>
      </c>
      <c r="H2" s="4" t="s">
        <v>553</v>
      </c>
      <c r="I2" s="4" t="s">
        <v>16</v>
      </c>
      <c r="J2" s="4" t="s">
        <v>554</v>
      </c>
      <c r="K2" s="4" t="s">
        <v>48</v>
      </c>
      <c r="N2" s="24">
        <f>PRODUCT(D2:E2)</f>
        <v>388.24</v>
      </c>
      <c r="O2" s="24">
        <f>_xlfn.DAYS(G2,F2)</f>
        <v>10</v>
      </c>
      <c r="P2" s="24" t="str" cm="1">
        <f t="array" ref="P2">_xlfn.IFS(O2&lt;4,"Speedy",O2&lt;7,"Standard",O2&gt;=7,"Slow")</f>
        <v>Slow</v>
      </c>
      <c r="Q2" s="24" t="str">
        <f>TEXT(F2,"mmmm")</f>
        <v>January</v>
      </c>
      <c r="R2" s="24" t="str">
        <f>TEXT(F2,"yyyy")</f>
        <v>2024</v>
      </c>
      <c r="S2" s="24" t="str">
        <f>CONCATENATE(Q2," ",R2)</f>
        <v>January 2024</v>
      </c>
      <c r="T2" s="24" t="str">
        <f>_xlfn.XLOOKUP(B2,REF_Products!$A$2:$A$41,REF_Products!$C$2:$C$41)</f>
        <v>Clothing</v>
      </c>
      <c r="V2" s="30" t="s">
        <v>555</v>
      </c>
      <c r="W2" s="29">
        <f>_xlfn.XLOOKUP(REF_Regions!$K$1,REF_Regions!$I$1:$U$1,REF_Regions!I2:U2)</f>
        <v>72740</v>
      </c>
      <c r="X2" s="4"/>
    </row>
    <row r="3" spans="1:24">
      <c r="A3" s="4" t="s">
        <v>250</v>
      </c>
      <c r="B3" s="4" t="s">
        <v>50</v>
      </c>
      <c r="C3" s="4" t="s">
        <v>556</v>
      </c>
      <c r="D3" s="4">
        <v>1</v>
      </c>
      <c r="E3" s="13">
        <v>299.62</v>
      </c>
      <c r="F3" s="15">
        <v>45330</v>
      </c>
      <c r="G3" s="15">
        <v>45331</v>
      </c>
      <c r="H3" s="4" t="s">
        <v>557</v>
      </c>
      <c r="I3" s="4" t="s">
        <v>31</v>
      </c>
      <c r="J3" s="4" t="s">
        <v>558</v>
      </c>
      <c r="K3" s="4" t="s">
        <v>559</v>
      </c>
      <c r="L3" s="4"/>
      <c r="N3" s="25">
        <f>PRODUCT(D3:E3)</f>
        <v>299.62</v>
      </c>
      <c r="O3" s="25">
        <f t="shared" ref="O3:O66" si="0">_xlfn.DAYS(G3,F3)</f>
        <v>1</v>
      </c>
      <c r="P3" s="25" t="str" cm="1">
        <f t="array" ref="P3">_xlfn.IFS(O3&lt;4,"Speedy",O3&lt;7,"Standard",O3&gt;=7,"Slow")</f>
        <v>Speedy</v>
      </c>
      <c r="Q3" s="25" t="str">
        <f>TEXT(F3,"mmmm")</f>
        <v>February</v>
      </c>
      <c r="R3" s="25" t="str">
        <f t="shared" ref="R3:R66" si="1">TEXT(F3,"yyyy")</f>
        <v>2024</v>
      </c>
      <c r="S3" s="25" t="str">
        <f t="shared" ref="S3:S66" si="2">CONCATENATE(Q3," ",R3)</f>
        <v>February 2024</v>
      </c>
      <c r="T3" s="25" t="str">
        <f>_xlfn.XLOOKUP(B3,REF_Products!$A$2:$A$41,REF_Products!$C$2:$C$41)</f>
        <v>Sportswear</v>
      </c>
      <c r="V3" s="31" t="s">
        <v>557</v>
      </c>
      <c r="W3" s="29">
        <f>_xlfn.XLOOKUP(REF_Regions!$K$1,REF_Regions!$I$1:$U$1,REF_Regions!I3:U3)</f>
        <v>88927</v>
      </c>
      <c r="X3" s="4"/>
    </row>
    <row r="4" spans="1:24">
      <c r="A4" s="4" t="s">
        <v>346</v>
      </c>
      <c r="B4" s="4" t="s">
        <v>251</v>
      </c>
      <c r="C4" s="4" t="s">
        <v>560</v>
      </c>
      <c r="D4" s="4">
        <v>1</v>
      </c>
      <c r="E4" s="13">
        <v>287.57</v>
      </c>
      <c r="F4" s="15">
        <v>44966</v>
      </c>
      <c r="G4" s="15">
        <v>44970</v>
      </c>
      <c r="H4" s="4" t="s">
        <v>553</v>
      </c>
      <c r="I4" s="4" t="s">
        <v>16</v>
      </c>
      <c r="J4" s="4" t="s">
        <v>561</v>
      </c>
      <c r="K4" s="4" t="s">
        <v>559</v>
      </c>
      <c r="N4" s="25">
        <f t="shared" ref="N4:N67" si="3">PRODUCT(D4:E4)</f>
        <v>287.57</v>
      </c>
      <c r="O4" s="25">
        <f t="shared" si="0"/>
        <v>4</v>
      </c>
      <c r="P4" s="25" t="str" cm="1">
        <f t="array" ref="P4">_xlfn.IFS(O4&lt;4,"Speedy",O4&lt;7,"Standard",O4&gt;=7,"Slow")</f>
        <v>Standard</v>
      </c>
      <c r="Q4" s="25" t="str">
        <f t="shared" ref="Q4:Q67" si="4">TEXT(F4,"mmmm")</f>
        <v>February</v>
      </c>
      <c r="R4" s="25" t="str">
        <f t="shared" si="1"/>
        <v>2023</v>
      </c>
      <c r="S4" s="25" t="str">
        <f t="shared" si="2"/>
        <v>February 2023</v>
      </c>
      <c r="T4" s="25" t="str">
        <f>_xlfn.XLOOKUP(B4,REF_Products!$A$2:$A$41,REF_Products!$C$2:$C$41)</f>
        <v>Health</v>
      </c>
      <c r="V4" s="31" t="s">
        <v>562</v>
      </c>
      <c r="W4" s="29">
        <f>_xlfn.XLOOKUP(REF_Regions!$K$1,REF_Regions!$I$1:$U$1,REF_Regions!I4:U4)</f>
        <v>107670</v>
      </c>
      <c r="X4" s="4"/>
    </row>
    <row r="5" spans="1:24">
      <c r="A5" s="4" t="s">
        <v>349</v>
      </c>
      <c r="B5" s="4" t="s">
        <v>210</v>
      </c>
      <c r="C5" s="4" t="s">
        <v>563</v>
      </c>
      <c r="D5" s="4">
        <v>2</v>
      </c>
      <c r="E5" s="13">
        <v>104.67</v>
      </c>
      <c r="F5" s="15">
        <v>44952</v>
      </c>
      <c r="G5" s="15">
        <v>44954</v>
      </c>
      <c r="H5" s="4" t="s">
        <v>557</v>
      </c>
      <c r="I5" s="4" t="s">
        <v>24</v>
      </c>
      <c r="J5" s="4" t="s">
        <v>564</v>
      </c>
      <c r="K5" s="4" t="s">
        <v>48</v>
      </c>
      <c r="N5" s="25">
        <f t="shared" si="3"/>
        <v>209.34</v>
      </c>
      <c r="O5" s="25">
        <f t="shared" si="0"/>
        <v>2</v>
      </c>
      <c r="P5" s="25" t="str" cm="1">
        <f t="array" ref="P5">_xlfn.IFS(O5&lt;4,"Speedy",O5&lt;7,"Standard",O5&gt;=7,"Slow")</f>
        <v>Speedy</v>
      </c>
      <c r="Q5" s="25" t="str">
        <f t="shared" si="4"/>
        <v>January</v>
      </c>
      <c r="R5" s="25" t="str">
        <f t="shared" si="1"/>
        <v>2023</v>
      </c>
      <c r="S5" s="25" t="str">
        <f>CONCATENATE(Q5," ",R5)</f>
        <v>January 2023</v>
      </c>
      <c r="T5" s="25" t="str">
        <f>_xlfn.XLOOKUP(B5,REF_Products!$A$2:$A$41,REF_Products!$C$2:$C$41)</f>
        <v>Books</v>
      </c>
      <c r="V5" s="31" t="s">
        <v>553</v>
      </c>
      <c r="W5" s="29">
        <f>_xlfn.XLOOKUP(REF_Regions!$K$1,REF_Regions!$I$1:$U$1,REF_Regions!I5:U5)</f>
        <v>113395</v>
      </c>
      <c r="X5" s="4"/>
    </row>
    <row r="6" spans="1:24">
      <c r="A6" s="4" t="s">
        <v>124</v>
      </c>
      <c r="B6" s="4" t="s">
        <v>292</v>
      </c>
      <c r="C6" s="4" t="s">
        <v>293</v>
      </c>
      <c r="D6" s="4">
        <v>10</v>
      </c>
      <c r="E6" s="13">
        <v>261.58</v>
      </c>
      <c r="F6" s="15">
        <v>45469</v>
      </c>
      <c r="G6" s="15">
        <v>45473</v>
      </c>
      <c r="H6" s="4" t="s">
        <v>71</v>
      </c>
      <c r="I6" s="4" t="s">
        <v>46</v>
      </c>
      <c r="J6" s="4" t="s">
        <v>348</v>
      </c>
      <c r="K6" s="4" t="s">
        <v>559</v>
      </c>
      <c r="N6" s="25">
        <f t="shared" si="3"/>
        <v>2615.7999999999997</v>
      </c>
      <c r="O6" s="25">
        <f t="shared" si="0"/>
        <v>4</v>
      </c>
      <c r="P6" s="25" t="str" cm="1">
        <f t="array" ref="P6">_xlfn.IFS(O6&lt;4,"Speedy",O6&lt;7,"Standard",O6&gt;=7,"Slow")</f>
        <v>Standard</v>
      </c>
      <c r="Q6" s="25" t="str">
        <f t="shared" si="4"/>
        <v>June</v>
      </c>
      <c r="R6" s="25" t="str">
        <f t="shared" si="1"/>
        <v>2024</v>
      </c>
      <c r="S6" s="25" t="str">
        <f t="shared" si="2"/>
        <v>June 2024</v>
      </c>
      <c r="T6" s="25" t="str">
        <f>_xlfn.XLOOKUP(B6,REF_Products!$A$2:$A$41,REF_Products!$C$2:$C$41)</f>
        <v>Stationery</v>
      </c>
      <c r="V6" s="31" t="s">
        <v>192</v>
      </c>
      <c r="W6" s="29">
        <f>_xlfn.XLOOKUP(REF_Regions!$K$1,REF_Regions!$I$1:$U$1,REF_Regions!I6:U6)</f>
        <v>112160</v>
      </c>
      <c r="X6" s="4"/>
    </row>
    <row r="7" spans="1:24">
      <c r="A7" s="4" t="s">
        <v>264</v>
      </c>
      <c r="B7" s="4" t="s">
        <v>393</v>
      </c>
      <c r="C7" s="4" t="s">
        <v>565</v>
      </c>
      <c r="D7" s="4">
        <v>5</v>
      </c>
      <c r="E7" s="13">
        <v>69.37</v>
      </c>
      <c r="F7" s="15">
        <v>44978</v>
      </c>
      <c r="G7" s="15">
        <v>44980</v>
      </c>
      <c r="H7" s="4" t="s">
        <v>192</v>
      </c>
      <c r="I7" s="4" t="s">
        <v>24</v>
      </c>
      <c r="J7" s="4" t="s">
        <v>530</v>
      </c>
      <c r="K7" s="4" t="s">
        <v>559</v>
      </c>
      <c r="N7" s="25">
        <f t="shared" si="3"/>
        <v>346.85</v>
      </c>
      <c r="O7" s="25">
        <f t="shared" si="0"/>
        <v>2</v>
      </c>
      <c r="P7" s="25" t="str" cm="1">
        <f t="array" ref="P7">_xlfn.IFS(O7&lt;4,"Speedy",O7&lt;7,"Standard",O7&gt;=7,"Slow")</f>
        <v>Speedy</v>
      </c>
      <c r="Q7" s="25" t="str">
        <f t="shared" si="4"/>
        <v>February</v>
      </c>
      <c r="R7" s="25" t="str">
        <f t="shared" si="1"/>
        <v>2023</v>
      </c>
      <c r="S7" s="25" t="str">
        <f t="shared" si="2"/>
        <v>February 2023</v>
      </c>
      <c r="T7" s="25" t="str">
        <f>_xlfn.XLOOKUP(B7,REF_Products!$A$2:$A$41,REF_Products!$C$2:$C$41)</f>
        <v>Health</v>
      </c>
      <c r="V7" s="31" t="s">
        <v>357</v>
      </c>
      <c r="W7" s="29">
        <f>_xlfn.XLOOKUP(REF_Regions!$K$1,REF_Regions!$I$1:$U$1,REF_Regions!I7:U7)</f>
        <v>101733</v>
      </c>
      <c r="X7" s="4"/>
    </row>
    <row r="8" spans="1:24">
      <c r="A8" s="4" t="s">
        <v>135</v>
      </c>
      <c r="B8" s="4" t="s">
        <v>350</v>
      </c>
      <c r="C8" s="4" t="s">
        <v>566</v>
      </c>
      <c r="D8" s="4">
        <v>3</v>
      </c>
      <c r="E8" s="13">
        <v>119.54</v>
      </c>
      <c r="F8" s="15">
        <v>45187</v>
      </c>
      <c r="G8" s="15">
        <v>45198</v>
      </c>
      <c r="H8" s="4" t="s">
        <v>555</v>
      </c>
      <c r="I8" s="4" t="s">
        <v>111</v>
      </c>
      <c r="J8" s="4" t="s">
        <v>567</v>
      </c>
      <c r="K8" s="4" t="s">
        <v>26</v>
      </c>
      <c r="N8" s="25">
        <f t="shared" si="3"/>
        <v>358.62</v>
      </c>
      <c r="O8" s="25">
        <f t="shared" si="0"/>
        <v>11</v>
      </c>
      <c r="P8" s="25" t="str" cm="1">
        <f t="array" ref="P8">_xlfn.IFS(O8&lt;4,"Speedy",O8&lt;7,"Standard",O8&gt;=7,"Slow")</f>
        <v>Slow</v>
      </c>
      <c r="Q8" s="25" t="str">
        <f t="shared" si="4"/>
        <v>September</v>
      </c>
      <c r="R8" s="25" t="str">
        <f t="shared" si="1"/>
        <v>2023</v>
      </c>
      <c r="S8" s="25" t="str">
        <f t="shared" si="2"/>
        <v>September 2023</v>
      </c>
      <c r="T8" s="25" t="str">
        <f>_xlfn.XLOOKUP(B8,REF_Products!$A$2:$A$41,REF_Products!$C$2:$C$41)</f>
        <v>Books</v>
      </c>
      <c r="V8" s="31" t="s">
        <v>510</v>
      </c>
      <c r="W8" s="29">
        <f>_xlfn.XLOOKUP(REF_Regions!$K$1,REF_Regions!$I$1:$U$1,REF_Regions!I8:U8)</f>
        <v>80613</v>
      </c>
      <c r="X8" s="4"/>
    </row>
    <row r="9" spans="1:24">
      <c r="A9" s="4" t="s">
        <v>161</v>
      </c>
      <c r="B9" s="4" t="s">
        <v>119</v>
      </c>
      <c r="C9" s="4" t="s">
        <v>568</v>
      </c>
      <c r="D9" s="4">
        <v>9</v>
      </c>
      <c r="E9" s="13">
        <v>149.61000000000001</v>
      </c>
      <c r="F9" s="15">
        <v>45149</v>
      </c>
      <c r="G9" s="15">
        <v>45151</v>
      </c>
      <c r="H9" s="4" t="s">
        <v>357</v>
      </c>
      <c r="I9" s="4" t="s">
        <v>16</v>
      </c>
      <c r="J9" s="4" t="s">
        <v>569</v>
      </c>
      <c r="K9" s="4" t="s">
        <v>48</v>
      </c>
      <c r="N9" s="25">
        <f t="shared" si="3"/>
        <v>1346.4900000000002</v>
      </c>
      <c r="O9" s="25">
        <f t="shared" si="0"/>
        <v>2</v>
      </c>
      <c r="P9" s="25" t="str" cm="1">
        <f t="array" ref="P9">_xlfn.IFS(O9&lt;4,"Speedy",O9&lt;7,"Standard",O9&gt;=7,"Slow")</f>
        <v>Speedy</v>
      </c>
      <c r="Q9" s="25" t="str">
        <f t="shared" si="4"/>
        <v>August</v>
      </c>
      <c r="R9" s="25" t="str">
        <f t="shared" si="1"/>
        <v>2023</v>
      </c>
      <c r="S9" s="25" t="str">
        <f t="shared" si="2"/>
        <v>August 2023</v>
      </c>
      <c r="T9" s="25" t="str">
        <f>_xlfn.XLOOKUP(B9,REF_Products!$A$2:$A$41,REF_Products!$C$2:$C$41)</f>
        <v>Electronics</v>
      </c>
      <c r="V9" s="33" t="s">
        <v>71</v>
      </c>
      <c r="W9" s="34">
        <f>_xlfn.XLOOKUP(REF_Regions!$K$1,REF_Regions!$I$1:$U$1,REF_Regions!I9:U9)</f>
        <v>49813</v>
      </c>
      <c r="X9" s="4"/>
    </row>
    <row r="10" spans="1:24">
      <c r="A10" s="4" t="s">
        <v>78</v>
      </c>
      <c r="B10" s="4" t="s">
        <v>421</v>
      </c>
      <c r="C10" s="4" t="s">
        <v>570</v>
      </c>
      <c r="D10" s="4">
        <v>9</v>
      </c>
      <c r="E10" s="13">
        <v>210.01</v>
      </c>
      <c r="F10" s="15">
        <v>45248</v>
      </c>
      <c r="G10" s="15">
        <v>45258</v>
      </c>
      <c r="H10" s="4" t="s">
        <v>555</v>
      </c>
      <c r="I10" s="4" t="s">
        <v>111</v>
      </c>
      <c r="J10" s="4" t="s">
        <v>571</v>
      </c>
      <c r="K10" s="4" t="s">
        <v>33</v>
      </c>
      <c r="N10" s="25">
        <f t="shared" si="3"/>
        <v>1890.09</v>
      </c>
      <c r="O10" s="25">
        <f t="shared" si="0"/>
        <v>10</v>
      </c>
      <c r="P10" s="25" t="str" cm="1">
        <f t="array" ref="P10">_xlfn.IFS(O10&lt;4,"Speedy",O10&lt;7,"Standard",O10&gt;=7,"Slow")</f>
        <v>Slow</v>
      </c>
      <c r="Q10" s="25" t="str">
        <f t="shared" si="4"/>
        <v>November</v>
      </c>
      <c r="R10" s="25" t="str">
        <f t="shared" si="1"/>
        <v>2023</v>
      </c>
      <c r="S10" s="25" t="str">
        <f t="shared" si="2"/>
        <v>November 2023</v>
      </c>
      <c r="T10" s="25" t="str">
        <f>_xlfn.XLOOKUP(B10,REF_Products!$A$2:$A$41,REF_Products!$C$2:$C$41)</f>
        <v>Clothing</v>
      </c>
      <c r="V10" s="4"/>
      <c r="W10" s="4"/>
      <c r="X10" s="4"/>
    </row>
    <row r="11" spans="1:24">
      <c r="A11" s="4" t="s">
        <v>275</v>
      </c>
      <c r="B11" s="4" t="s">
        <v>265</v>
      </c>
      <c r="C11" s="4" t="s">
        <v>266</v>
      </c>
      <c r="D11" s="4">
        <v>1</v>
      </c>
      <c r="E11" s="13">
        <v>156.5</v>
      </c>
      <c r="F11" s="15">
        <v>45214</v>
      </c>
      <c r="G11" s="15">
        <v>45216</v>
      </c>
      <c r="H11" s="4" t="s">
        <v>557</v>
      </c>
      <c r="I11" s="4" t="s">
        <v>111</v>
      </c>
      <c r="J11" s="4" t="s">
        <v>572</v>
      </c>
      <c r="K11" s="4" t="s">
        <v>18</v>
      </c>
      <c r="N11" s="25">
        <f t="shared" si="3"/>
        <v>156.5</v>
      </c>
      <c r="O11" s="25">
        <f t="shared" si="0"/>
        <v>2</v>
      </c>
      <c r="P11" s="25" t="str" cm="1">
        <f t="array" ref="P11">_xlfn.IFS(O11&lt;4,"Speedy",O11&lt;7,"Standard",O11&gt;=7,"Slow")</f>
        <v>Speedy</v>
      </c>
      <c r="Q11" s="25" t="str">
        <f t="shared" si="4"/>
        <v>October</v>
      </c>
      <c r="R11" s="25" t="str">
        <f t="shared" si="1"/>
        <v>2023</v>
      </c>
      <c r="S11" s="25" t="str">
        <f t="shared" si="2"/>
        <v>October 2023</v>
      </c>
      <c r="T11" s="25" t="str">
        <f>_xlfn.XLOOKUP(B11,REF_Products!$A$2:$A$41,REF_Products!$C$2:$C$41)</f>
        <v>Books</v>
      </c>
      <c r="V11" s="4"/>
      <c r="W11" s="4"/>
      <c r="X11" s="4"/>
    </row>
    <row r="12" spans="1:24">
      <c r="A12" s="4" t="s">
        <v>270</v>
      </c>
      <c r="B12" s="4" t="s">
        <v>271</v>
      </c>
      <c r="C12" s="4" t="s">
        <v>573</v>
      </c>
      <c r="D12" s="4">
        <v>1</v>
      </c>
      <c r="E12" s="13">
        <v>248.83</v>
      </c>
      <c r="F12" s="15">
        <v>45133</v>
      </c>
      <c r="G12" s="15">
        <v>45147</v>
      </c>
      <c r="H12" s="4" t="s">
        <v>71</v>
      </c>
      <c r="I12" s="4" t="s">
        <v>46</v>
      </c>
      <c r="J12" s="4" t="s">
        <v>513</v>
      </c>
      <c r="K12" s="4" t="s">
        <v>559</v>
      </c>
      <c r="N12" s="25">
        <f t="shared" si="3"/>
        <v>248.83</v>
      </c>
      <c r="O12" s="25">
        <f t="shared" si="0"/>
        <v>14</v>
      </c>
      <c r="P12" s="25" t="str" cm="1">
        <f t="array" ref="P12">_xlfn.IFS(O12&lt;4,"Speedy",O12&lt;7,"Standard",O12&gt;=7,"Slow")</f>
        <v>Slow</v>
      </c>
      <c r="Q12" s="25" t="str">
        <f t="shared" si="4"/>
        <v>July</v>
      </c>
      <c r="R12" s="25" t="str">
        <f t="shared" si="1"/>
        <v>2023</v>
      </c>
      <c r="S12" s="25" t="str">
        <f t="shared" si="2"/>
        <v>July 2023</v>
      </c>
      <c r="T12" s="25" t="str">
        <f>_xlfn.XLOOKUP(B12,REF_Products!$A$2:$A$41,REF_Products!$C$2:$C$41)</f>
        <v>Electronics</v>
      </c>
      <c r="V12" s="4"/>
      <c r="W12" s="4"/>
      <c r="X12" s="4"/>
    </row>
    <row r="13" spans="1:24">
      <c r="A13" s="4" t="s">
        <v>233</v>
      </c>
      <c r="B13" s="4" t="s">
        <v>210</v>
      </c>
      <c r="C13" s="4" t="s">
        <v>563</v>
      </c>
      <c r="D13" s="4">
        <v>2</v>
      </c>
      <c r="E13" s="13">
        <v>89.54</v>
      </c>
      <c r="F13" s="15">
        <v>45032</v>
      </c>
      <c r="G13" s="15">
        <v>45043</v>
      </c>
      <c r="H13" s="4" t="s">
        <v>557</v>
      </c>
      <c r="I13" s="4" t="s">
        <v>16</v>
      </c>
      <c r="J13" s="4" t="s">
        <v>574</v>
      </c>
      <c r="K13" s="4" t="s">
        <v>48</v>
      </c>
      <c r="N13" s="25">
        <f t="shared" si="3"/>
        <v>179.08</v>
      </c>
      <c r="O13" s="25">
        <f t="shared" si="0"/>
        <v>11</v>
      </c>
      <c r="P13" s="25" t="str" cm="1">
        <f t="array" ref="P13">_xlfn.IFS(O13&lt;4,"Speedy",O13&lt;7,"Standard",O13&gt;=7,"Slow")</f>
        <v>Slow</v>
      </c>
      <c r="Q13" s="25" t="str">
        <f t="shared" si="4"/>
        <v>April</v>
      </c>
      <c r="R13" s="25" t="str">
        <f t="shared" si="1"/>
        <v>2023</v>
      </c>
      <c r="S13" s="25" t="str">
        <f t="shared" si="2"/>
        <v>April 2023</v>
      </c>
      <c r="T13" s="25" t="str">
        <f>_xlfn.XLOOKUP(B13,REF_Products!$A$2:$A$41,REF_Products!$C$2:$C$41)</f>
        <v>Books</v>
      </c>
    </row>
    <row r="14" spans="1:24">
      <c r="A14" s="4" t="s">
        <v>320</v>
      </c>
      <c r="B14" s="4" t="s">
        <v>56</v>
      </c>
      <c r="C14" s="4" t="s">
        <v>575</v>
      </c>
      <c r="D14" s="4">
        <v>10</v>
      </c>
      <c r="E14" s="13">
        <v>72.28</v>
      </c>
      <c r="F14" s="15">
        <v>45062</v>
      </c>
      <c r="G14" s="15">
        <v>45072</v>
      </c>
      <c r="H14" s="4" t="s">
        <v>357</v>
      </c>
      <c r="I14" s="4" t="s">
        <v>31</v>
      </c>
      <c r="J14" s="4" t="s">
        <v>454</v>
      </c>
      <c r="K14" s="4" t="s">
        <v>48</v>
      </c>
      <c r="N14" s="25">
        <f t="shared" si="3"/>
        <v>722.8</v>
      </c>
      <c r="O14" s="25">
        <f t="shared" si="0"/>
        <v>10</v>
      </c>
      <c r="P14" s="25" t="str" cm="1">
        <f t="array" ref="P14">_xlfn.IFS(O14&lt;4,"Speedy",O14&lt;7,"Standard",O14&gt;=7,"Slow")</f>
        <v>Slow</v>
      </c>
      <c r="Q14" s="25" t="str">
        <f t="shared" si="4"/>
        <v>May</v>
      </c>
      <c r="R14" s="25" t="str">
        <f t="shared" si="1"/>
        <v>2023</v>
      </c>
      <c r="S14" s="25" t="str">
        <f t="shared" si="2"/>
        <v>May 2023</v>
      </c>
      <c r="T14" s="25" t="str">
        <f>_xlfn.XLOOKUP(B14,REF_Products!$A$2:$A$41,REF_Products!$C$2:$C$41)</f>
        <v>Stationery</v>
      </c>
    </row>
    <row r="15" spans="1:24">
      <c r="A15" s="4" t="s">
        <v>376</v>
      </c>
      <c r="B15" s="4" t="s">
        <v>62</v>
      </c>
      <c r="C15" s="4" t="s">
        <v>576</v>
      </c>
      <c r="D15" s="4">
        <v>4</v>
      </c>
      <c r="E15" s="13">
        <v>82.31</v>
      </c>
      <c r="F15" s="15">
        <v>45031</v>
      </c>
      <c r="G15" s="15">
        <v>45036</v>
      </c>
      <c r="H15" s="4" t="s">
        <v>553</v>
      </c>
      <c r="I15" s="4" t="s">
        <v>24</v>
      </c>
      <c r="J15" s="4" t="s">
        <v>152</v>
      </c>
      <c r="K15" s="4" t="s">
        <v>559</v>
      </c>
      <c r="N15" s="25">
        <f t="shared" si="3"/>
        <v>329.24</v>
      </c>
      <c r="O15" s="25">
        <f t="shared" si="0"/>
        <v>5</v>
      </c>
      <c r="P15" s="25" t="str" cm="1">
        <f t="array" ref="P15">_xlfn.IFS(O15&lt;4,"Speedy",O15&lt;7,"Standard",O15&gt;=7,"Slow")</f>
        <v>Standard</v>
      </c>
      <c r="Q15" s="25" t="str">
        <f t="shared" si="4"/>
        <v>April</v>
      </c>
      <c r="R15" s="25" t="str">
        <f t="shared" si="1"/>
        <v>2023</v>
      </c>
      <c r="S15" s="25" t="str">
        <f t="shared" si="2"/>
        <v>April 2023</v>
      </c>
      <c r="T15" s="25" t="str">
        <f>_xlfn.XLOOKUP(B15,REF_Products!$A$2:$A$41,REF_Products!$C$2:$C$41)</f>
        <v>Electronics</v>
      </c>
    </row>
    <row r="16" spans="1:24">
      <c r="A16" s="4" t="s">
        <v>282</v>
      </c>
      <c r="B16" s="4" t="s">
        <v>143</v>
      </c>
      <c r="C16" s="4" t="s">
        <v>577</v>
      </c>
      <c r="D16" s="4">
        <v>2</v>
      </c>
      <c r="E16" s="13">
        <v>222.09</v>
      </c>
      <c r="F16" s="15">
        <v>45433</v>
      </c>
      <c r="G16" s="15">
        <v>45440</v>
      </c>
      <c r="H16" s="4" t="s">
        <v>553</v>
      </c>
      <c r="I16" s="4" t="s">
        <v>111</v>
      </c>
      <c r="J16" s="4" t="s">
        <v>155</v>
      </c>
      <c r="K16" s="4" t="s">
        <v>18</v>
      </c>
      <c r="N16" s="25">
        <f t="shared" si="3"/>
        <v>444.18</v>
      </c>
      <c r="O16" s="25">
        <f t="shared" si="0"/>
        <v>7</v>
      </c>
      <c r="P16" s="25" t="str" cm="1">
        <f t="array" ref="P16">_xlfn.IFS(O16&lt;4,"Speedy",O16&lt;7,"Standard",O16&gt;=7,"Slow")</f>
        <v>Slow</v>
      </c>
      <c r="Q16" s="25" t="str">
        <f t="shared" si="4"/>
        <v>May</v>
      </c>
      <c r="R16" s="25" t="str">
        <f t="shared" si="1"/>
        <v>2024</v>
      </c>
      <c r="S16" s="25" t="str">
        <f t="shared" si="2"/>
        <v>May 2024</v>
      </c>
      <c r="T16" s="25" t="str">
        <f>_xlfn.XLOOKUP(B16,REF_Products!$A$2:$A$41,REF_Products!$C$2:$C$41)</f>
        <v>Kitchen</v>
      </c>
    </row>
    <row r="17" spans="1:20">
      <c r="A17" s="4" t="s">
        <v>131</v>
      </c>
      <c r="B17" s="4" t="s">
        <v>89</v>
      </c>
      <c r="C17" s="4" t="s">
        <v>578</v>
      </c>
      <c r="D17" s="4">
        <v>3</v>
      </c>
      <c r="E17" s="13">
        <v>7.66</v>
      </c>
      <c r="F17" s="15">
        <v>45053</v>
      </c>
      <c r="G17" s="15">
        <v>45055</v>
      </c>
      <c r="H17" s="4" t="s">
        <v>555</v>
      </c>
      <c r="I17" s="4" t="s">
        <v>111</v>
      </c>
      <c r="J17" s="4" t="s">
        <v>579</v>
      </c>
      <c r="K17" s="4" t="s">
        <v>559</v>
      </c>
      <c r="N17" s="25">
        <f t="shared" si="3"/>
        <v>22.98</v>
      </c>
      <c r="O17" s="25">
        <f t="shared" si="0"/>
        <v>2</v>
      </c>
      <c r="P17" s="25" t="str" cm="1">
        <f t="array" ref="P17">_xlfn.IFS(O17&lt;4,"Speedy",O17&lt;7,"Standard",O17&gt;=7,"Slow")</f>
        <v>Speedy</v>
      </c>
      <c r="Q17" s="25" t="str">
        <f t="shared" si="4"/>
        <v>May</v>
      </c>
      <c r="R17" s="25" t="str">
        <f t="shared" si="1"/>
        <v>2023</v>
      </c>
      <c r="S17" s="25" t="str">
        <f t="shared" si="2"/>
        <v>May 2023</v>
      </c>
      <c r="T17" s="25" t="str">
        <f>_xlfn.XLOOKUP(B17,REF_Products!$A$2:$A$41,REF_Products!$C$2:$C$41)</f>
        <v>Electronics</v>
      </c>
    </row>
    <row r="18" spans="1:20">
      <c r="A18" s="4" t="s">
        <v>100</v>
      </c>
      <c r="B18" s="4" t="s">
        <v>265</v>
      </c>
      <c r="C18" s="4" t="s">
        <v>266</v>
      </c>
      <c r="D18" s="4">
        <v>2</v>
      </c>
      <c r="E18" s="13">
        <v>237.33</v>
      </c>
      <c r="F18" s="15">
        <v>45041</v>
      </c>
      <c r="G18" s="15">
        <v>45048</v>
      </c>
      <c r="H18" s="4" t="s">
        <v>553</v>
      </c>
      <c r="I18" s="4" t="s">
        <v>46</v>
      </c>
      <c r="J18" s="4" t="s">
        <v>580</v>
      </c>
      <c r="K18" s="4" t="s">
        <v>559</v>
      </c>
      <c r="N18" s="25">
        <f t="shared" si="3"/>
        <v>474.66</v>
      </c>
      <c r="O18" s="25">
        <f t="shared" si="0"/>
        <v>7</v>
      </c>
      <c r="P18" s="25" t="str" cm="1">
        <f t="array" ref="P18">_xlfn.IFS(O18&lt;4,"Speedy",O18&lt;7,"Standard",O18&gt;=7,"Slow")</f>
        <v>Slow</v>
      </c>
      <c r="Q18" s="25" t="str">
        <f t="shared" si="4"/>
        <v>April</v>
      </c>
      <c r="R18" s="25" t="str">
        <f t="shared" si="1"/>
        <v>2023</v>
      </c>
      <c r="S18" s="25" t="str">
        <f t="shared" si="2"/>
        <v>April 2023</v>
      </c>
      <c r="T18" s="25" t="str">
        <f>_xlfn.XLOOKUP(B18,REF_Products!$A$2:$A$41,REF_Products!$C$2:$C$41)</f>
        <v>Books</v>
      </c>
    </row>
    <row r="19" spans="1:20">
      <c r="A19" s="4" t="s">
        <v>308</v>
      </c>
      <c r="B19" s="4" t="s">
        <v>119</v>
      </c>
      <c r="C19" s="4" t="s">
        <v>568</v>
      </c>
      <c r="D19" s="4">
        <v>1</v>
      </c>
      <c r="E19" s="13">
        <v>132.71</v>
      </c>
      <c r="F19" s="15">
        <v>45121</v>
      </c>
      <c r="G19" s="15">
        <v>45132</v>
      </c>
      <c r="H19" s="4" t="s">
        <v>562</v>
      </c>
      <c r="I19" s="4" t="s">
        <v>111</v>
      </c>
      <c r="J19" s="4" t="s">
        <v>138</v>
      </c>
      <c r="K19" s="4" t="s">
        <v>18</v>
      </c>
      <c r="N19" s="25">
        <f t="shared" si="3"/>
        <v>132.71</v>
      </c>
      <c r="O19" s="25">
        <f t="shared" si="0"/>
        <v>11</v>
      </c>
      <c r="P19" s="25" t="str" cm="1">
        <f t="array" ref="P19">_xlfn.IFS(O19&lt;4,"Speedy",O19&lt;7,"Standard",O19&gt;=7,"Slow")</f>
        <v>Slow</v>
      </c>
      <c r="Q19" s="25" t="str">
        <f t="shared" si="4"/>
        <v>July</v>
      </c>
      <c r="R19" s="25" t="str">
        <f t="shared" si="1"/>
        <v>2023</v>
      </c>
      <c r="S19" s="25" t="str">
        <f t="shared" si="2"/>
        <v>July 2023</v>
      </c>
      <c r="T19" s="25" t="str">
        <f>_xlfn.XLOOKUP(B19,REF_Products!$A$2:$A$41,REF_Products!$C$2:$C$41)</f>
        <v>Electronics</v>
      </c>
    </row>
    <row r="20" spans="1:20">
      <c r="A20" s="4" t="s">
        <v>400</v>
      </c>
      <c r="B20" s="4" t="s">
        <v>354</v>
      </c>
      <c r="C20" s="4" t="s">
        <v>355</v>
      </c>
      <c r="D20" s="4">
        <v>1</v>
      </c>
      <c r="E20" s="13">
        <v>90.83</v>
      </c>
      <c r="F20" s="15">
        <v>45125</v>
      </c>
      <c r="G20" s="15">
        <v>45139</v>
      </c>
      <c r="H20" s="4" t="s">
        <v>510</v>
      </c>
      <c r="I20" s="4" t="s">
        <v>24</v>
      </c>
      <c r="J20" s="4" t="s">
        <v>389</v>
      </c>
      <c r="K20" s="4" t="s">
        <v>559</v>
      </c>
      <c r="N20" s="25">
        <f t="shared" si="3"/>
        <v>90.83</v>
      </c>
      <c r="O20" s="25">
        <f t="shared" si="0"/>
        <v>14</v>
      </c>
      <c r="P20" s="25" t="str" cm="1">
        <f t="array" ref="P20">_xlfn.IFS(O20&lt;4,"Speedy",O20&lt;7,"Standard",O20&gt;=7,"Slow")</f>
        <v>Slow</v>
      </c>
      <c r="Q20" s="25" t="str">
        <f t="shared" si="4"/>
        <v>July</v>
      </c>
      <c r="R20" s="25" t="str">
        <f t="shared" si="1"/>
        <v>2023</v>
      </c>
      <c r="S20" s="25" t="str">
        <f t="shared" si="2"/>
        <v>July 2023</v>
      </c>
      <c r="T20" s="25" t="str">
        <f>_xlfn.XLOOKUP(B20,REF_Products!$A$2:$A$41,REF_Products!$C$2:$C$41)</f>
        <v>Sportswear</v>
      </c>
    </row>
    <row r="21" spans="1:20">
      <c r="A21" s="4" t="s">
        <v>224</v>
      </c>
      <c r="B21" s="4" t="s">
        <v>95</v>
      </c>
      <c r="C21" s="4" t="s">
        <v>581</v>
      </c>
      <c r="D21" s="4">
        <v>1</v>
      </c>
      <c r="E21" s="13">
        <v>119.57</v>
      </c>
      <c r="F21" s="15">
        <v>45005</v>
      </c>
      <c r="G21" s="15">
        <v>45012</v>
      </c>
      <c r="H21" s="4" t="s">
        <v>357</v>
      </c>
      <c r="I21" s="4" t="s">
        <v>46</v>
      </c>
      <c r="J21" s="4" t="s">
        <v>582</v>
      </c>
      <c r="K21" s="4" t="s">
        <v>26</v>
      </c>
      <c r="N21" s="25">
        <f t="shared" si="3"/>
        <v>119.57</v>
      </c>
      <c r="O21" s="25">
        <f t="shared" si="0"/>
        <v>7</v>
      </c>
      <c r="P21" s="25" t="str" cm="1">
        <f t="array" ref="P21">_xlfn.IFS(O21&lt;4,"Speedy",O21&lt;7,"Standard",O21&gt;=7,"Slow")</f>
        <v>Slow</v>
      </c>
      <c r="Q21" s="25" t="str">
        <f t="shared" si="4"/>
        <v>March</v>
      </c>
      <c r="R21" s="25" t="str">
        <f t="shared" si="1"/>
        <v>2023</v>
      </c>
      <c r="S21" s="25" t="str">
        <f t="shared" si="2"/>
        <v>March 2023</v>
      </c>
      <c r="T21" s="25" t="str">
        <f>_xlfn.XLOOKUP(B21,REF_Products!$A$2:$A$41,REF_Products!$C$2:$C$41)</f>
        <v>Furniture</v>
      </c>
    </row>
    <row r="22" spans="1:20">
      <c r="A22" s="4" t="s">
        <v>239</v>
      </c>
      <c r="B22" s="4" t="s">
        <v>167</v>
      </c>
      <c r="C22" s="4" t="s">
        <v>168</v>
      </c>
      <c r="D22" s="4">
        <v>7</v>
      </c>
      <c r="E22" s="13">
        <v>212.82</v>
      </c>
      <c r="F22" s="15">
        <v>45129</v>
      </c>
      <c r="G22" s="15">
        <v>45137</v>
      </c>
      <c r="H22" s="4" t="s">
        <v>555</v>
      </c>
      <c r="I22" s="4" t="s">
        <v>16</v>
      </c>
      <c r="J22" s="4" t="s">
        <v>583</v>
      </c>
      <c r="K22" s="4" t="s">
        <v>33</v>
      </c>
      <c r="N22" s="25">
        <f t="shared" si="3"/>
        <v>1489.74</v>
      </c>
      <c r="O22" s="25">
        <f t="shared" si="0"/>
        <v>8</v>
      </c>
      <c r="P22" s="25" t="str" cm="1">
        <f t="array" ref="P22">_xlfn.IFS(O22&lt;4,"Speedy",O22&lt;7,"Standard",O22&gt;=7,"Slow")</f>
        <v>Slow</v>
      </c>
      <c r="Q22" s="25" t="str">
        <f t="shared" si="4"/>
        <v>July</v>
      </c>
      <c r="R22" s="25" t="str">
        <f t="shared" si="1"/>
        <v>2023</v>
      </c>
      <c r="S22" s="25" t="str">
        <f t="shared" si="2"/>
        <v>July 2023</v>
      </c>
      <c r="T22" s="25" t="str">
        <f>_xlfn.XLOOKUP(B22,REF_Products!$A$2:$A$41,REF_Products!$C$2:$C$41)</f>
        <v>Furniture</v>
      </c>
    </row>
    <row r="23" spans="1:20">
      <c r="A23" s="4" t="s">
        <v>258</v>
      </c>
      <c r="B23" s="4" t="s">
        <v>101</v>
      </c>
      <c r="C23" s="4" t="s">
        <v>584</v>
      </c>
      <c r="D23" s="4">
        <v>4</v>
      </c>
      <c r="E23" s="13">
        <v>63.48</v>
      </c>
      <c r="F23" s="15">
        <v>44940</v>
      </c>
      <c r="G23" s="15">
        <v>44954</v>
      </c>
      <c r="H23" s="4" t="s">
        <v>562</v>
      </c>
      <c r="I23" s="4" t="s">
        <v>111</v>
      </c>
      <c r="J23" s="4" t="s">
        <v>163</v>
      </c>
      <c r="K23" s="4" t="s">
        <v>18</v>
      </c>
      <c r="N23" s="25">
        <f t="shared" si="3"/>
        <v>253.92</v>
      </c>
      <c r="O23" s="25">
        <f t="shared" si="0"/>
        <v>14</v>
      </c>
      <c r="P23" s="25" t="str" cm="1">
        <f t="array" ref="P23">_xlfn.IFS(O23&lt;4,"Speedy",O23&lt;7,"Standard",O23&gt;=7,"Slow")</f>
        <v>Slow</v>
      </c>
      <c r="Q23" s="25" t="str">
        <f t="shared" si="4"/>
        <v>January</v>
      </c>
      <c r="R23" s="25" t="str">
        <f t="shared" si="1"/>
        <v>2023</v>
      </c>
      <c r="S23" s="25" t="str">
        <f t="shared" si="2"/>
        <v>January 2023</v>
      </c>
      <c r="T23" s="25" t="str">
        <f>_xlfn.XLOOKUP(B23,REF_Products!$A$2:$A$41,REF_Products!$C$2:$C$41)</f>
        <v>Health</v>
      </c>
    </row>
    <row r="24" spans="1:20">
      <c r="A24" s="4" t="s">
        <v>381</v>
      </c>
      <c r="B24" s="4" t="s">
        <v>185</v>
      </c>
      <c r="C24" s="4" t="s">
        <v>186</v>
      </c>
      <c r="D24" s="4">
        <v>1</v>
      </c>
      <c r="E24" s="13">
        <v>153.71</v>
      </c>
      <c r="F24" s="15">
        <v>45251</v>
      </c>
      <c r="G24" s="15">
        <v>45256</v>
      </c>
      <c r="H24" s="4" t="s">
        <v>553</v>
      </c>
      <c r="I24" s="4" t="s">
        <v>31</v>
      </c>
      <c r="J24" s="4" t="s">
        <v>585</v>
      </c>
      <c r="K24" s="4" t="s">
        <v>559</v>
      </c>
      <c r="N24" s="25">
        <f t="shared" si="3"/>
        <v>153.71</v>
      </c>
      <c r="O24" s="25">
        <f t="shared" si="0"/>
        <v>5</v>
      </c>
      <c r="P24" s="25" t="str" cm="1">
        <f t="array" ref="P24">_xlfn.IFS(O24&lt;4,"Speedy",O24&lt;7,"Standard",O24&gt;=7,"Slow")</f>
        <v>Standard</v>
      </c>
      <c r="Q24" s="25" t="str">
        <f t="shared" si="4"/>
        <v>November</v>
      </c>
      <c r="R24" s="25" t="str">
        <f t="shared" si="1"/>
        <v>2023</v>
      </c>
      <c r="S24" s="25" t="str">
        <f t="shared" si="2"/>
        <v>November 2023</v>
      </c>
      <c r="T24" s="25" t="str">
        <f>_xlfn.XLOOKUP(B24,REF_Products!$A$2:$A$41,REF_Products!$C$2:$C$41)</f>
        <v>Stationery</v>
      </c>
    </row>
    <row r="25" spans="1:20">
      <c r="A25" s="4" t="s">
        <v>485</v>
      </c>
      <c r="B25" s="4" t="s">
        <v>79</v>
      </c>
      <c r="C25" s="4" t="s">
        <v>80</v>
      </c>
      <c r="D25" s="4">
        <v>1</v>
      </c>
      <c r="E25" s="13">
        <v>120.98</v>
      </c>
      <c r="F25" s="15">
        <v>45277</v>
      </c>
      <c r="G25" s="15">
        <v>45281</v>
      </c>
      <c r="H25" s="4" t="s">
        <v>192</v>
      </c>
      <c r="I25" s="4" t="s">
        <v>24</v>
      </c>
      <c r="J25" s="4" t="s">
        <v>586</v>
      </c>
      <c r="K25" s="4" t="s">
        <v>48</v>
      </c>
      <c r="N25" s="25">
        <f t="shared" si="3"/>
        <v>120.98</v>
      </c>
      <c r="O25" s="25">
        <f t="shared" si="0"/>
        <v>4</v>
      </c>
      <c r="P25" s="25" t="str" cm="1">
        <f t="array" ref="P25">_xlfn.IFS(O25&lt;4,"Speedy",O25&lt;7,"Standard",O25&gt;=7,"Slow")</f>
        <v>Standard</v>
      </c>
      <c r="Q25" s="25" t="str">
        <f t="shared" si="4"/>
        <v>December</v>
      </c>
      <c r="R25" s="25" t="str">
        <f t="shared" si="1"/>
        <v>2023</v>
      </c>
      <c r="S25" s="25" t="str">
        <f t="shared" si="2"/>
        <v>December 2023</v>
      </c>
      <c r="T25" s="25" t="str">
        <f>_xlfn.XLOOKUP(B25,REF_Products!$A$2:$A$41,REF_Products!$C$2:$C$41)</f>
        <v>Clothing</v>
      </c>
    </row>
    <row r="26" spans="1:20">
      <c r="A26" s="4" t="s">
        <v>409</v>
      </c>
      <c r="B26" s="4" t="s">
        <v>234</v>
      </c>
      <c r="C26" s="4" t="s">
        <v>235</v>
      </c>
      <c r="D26" s="4">
        <v>3</v>
      </c>
      <c r="E26" s="13">
        <v>88.41</v>
      </c>
      <c r="F26" s="15">
        <v>45192</v>
      </c>
      <c r="G26" s="15">
        <v>45198</v>
      </c>
      <c r="H26" s="4" t="s">
        <v>555</v>
      </c>
      <c r="I26" s="4" t="s">
        <v>111</v>
      </c>
      <c r="J26" s="4" t="s">
        <v>278</v>
      </c>
      <c r="K26" s="4" t="s">
        <v>559</v>
      </c>
      <c r="N26" s="25">
        <f t="shared" si="3"/>
        <v>265.23</v>
      </c>
      <c r="O26" s="25">
        <f t="shared" si="0"/>
        <v>6</v>
      </c>
      <c r="P26" s="25" t="str" cm="1">
        <f t="array" ref="P26">_xlfn.IFS(O26&lt;4,"Speedy",O26&lt;7,"Standard",O26&gt;=7,"Slow")</f>
        <v>Standard</v>
      </c>
      <c r="Q26" s="25" t="str">
        <f t="shared" si="4"/>
        <v>September</v>
      </c>
      <c r="R26" s="25" t="str">
        <f t="shared" si="1"/>
        <v>2023</v>
      </c>
      <c r="S26" s="25" t="str">
        <f t="shared" si="2"/>
        <v>September 2023</v>
      </c>
      <c r="T26" s="25" t="str">
        <f>_xlfn.XLOOKUP(B26,REF_Products!$A$2:$A$41,REF_Products!$C$2:$C$41)</f>
        <v>Electronics</v>
      </c>
    </row>
    <row r="27" spans="1:20">
      <c r="A27" s="4" t="s">
        <v>166</v>
      </c>
      <c r="B27" s="4" t="s">
        <v>271</v>
      </c>
      <c r="C27" s="4" t="s">
        <v>573</v>
      </c>
      <c r="D27" s="4">
        <v>6</v>
      </c>
      <c r="E27" s="13">
        <v>96.36</v>
      </c>
      <c r="F27" s="15">
        <v>45202</v>
      </c>
      <c r="G27" s="15">
        <v>45214</v>
      </c>
      <c r="H27" s="4" t="s">
        <v>562</v>
      </c>
      <c r="I27" s="4" t="s">
        <v>46</v>
      </c>
      <c r="J27" s="4" t="s">
        <v>587</v>
      </c>
      <c r="K27" s="4" t="s">
        <v>33</v>
      </c>
      <c r="N27" s="25">
        <f t="shared" si="3"/>
        <v>578.16</v>
      </c>
      <c r="O27" s="25">
        <f t="shared" si="0"/>
        <v>12</v>
      </c>
      <c r="P27" s="25" t="str" cm="1">
        <f t="array" ref="P27">_xlfn.IFS(O27&lt;4,"Speedy",O27&lt;7,"Standard",O27&gt;=7,"Slow")</f>
        <v>Slow</v>
      </c>
      <c r="Q27" s="25" t="str">
        <f t="shared" si="4"/>
        <v>October</v>
      </c>
      <c r="R27" s="25" t="str">
        <f t="shared" si="1"/>
        <v>2023</v>
      </c>
      <c r="S27" s="25" t="str">
        <f t="shared" si="2"/>
        <v>October 2023</v>
      </c>
      <c r="T27" s="25" t="str">
        <f>_xlfn.XLOOKUP(B27,REF_Products!$A$2:$A$41,REF_Products!$C$2:$C$41)</f>
        <v>Electronics</v>
      </c>
    </row>
    <row r="28" spans="1:20">
      <c r="A28" s="4" t="s">
        <v>42</v>
      </c>
      <c r="B28" s="4" t="s">
        <v>234</v>
      </c>
      <c r="C28" s="4" t="s">
        <v>235</v>
      </c>
      <c r="D28" s="4">
        <v>1</v>
      </c>
      <c r="E28" s="13">
        <v>28.58</v>
      </c>
      <c r="F28" s="15">
        <v>45315</v>
      </c>
      <c r="G28" s="15">
        <v>45327</v>
      </c>
      <c r="H28" s="4" t="s">
        <v>71</v>
      </c>
      <c r="I28" s="4" t="s">
        <v>16</v>
      </c>
      <c r="J28" s="4" t="s">
        <v>238</v>
      </c>
      <c r="K28" s="4" t="s">
        <v>26</v>
      </c>
      <c r="N28" s="25">
        <f t="shared" si="3"/>
        <v>28.58</v>
      </c>
      <c r="O28" s="25">
        <f t="shared" si="0"/>
        <v>12</v>
      </c>
      <c r="P28" s="25" t="str" cm="1">
        <f t="array" ref="P28">_xlfn.IFS(O28&lt;4,"Speedy",O28&lt;7,"Standard",O28&gt;=7,"Slow")</f>
        <v>Slow</v>
      </c>
      <c r="Q28" s="25" t="str">
        <f t="shared" si="4"/>
        <v>January</v>
      </c>
      <c r="R28" s="25" t="str">
        <f t="shared" si="1"/>
        <v>2024</v>
      </c>
      <c r="S28" s="25" t="str">
        <f t="shared" si="2"/>
        <v>January 2024</v>
      </c>
      <c r="T28" s="25" t="str">
        <f>_xlfn.XLOOKUP(B28,REF_Products!$A$2:$A$41,REF_Products!$C$2:$C$41)</f>
        <v>Electronics</v>
      </c>
    </row>
    <row r="29" spans="1:20">
      <c r="A29" s="4" t="s">
        <v>128</v>
      </c>
      <c r="B29" s="4" t="s">
        <v>321</v>
      </c>
      <c r="C29" s="4" t="s">
        <v>588</v>
      </c>
      <c r="D29" s="4">
        <v>1</v>
      </c>
      <c r="E29" s="13">
        <v>238.81</v>
      </c>
      <c r="F29" s="15">
        <v>45420</v>
      </c>
      <c r="G29" s="15">
        <v>45430</v>
      </c>
      <c r="H29" s="4" t="s">
        <v>192</v>
      </c>
      <c r="I29" s="4" t="s">
        <v>16</v>
      </c>
      <c r="J29" s="4" t="s">
        <v>324</v>
      </c>
      <c r="K29" s="4" t="s">
        <v>559</v>
      </c>
      <c r="N29" s="25">
        <f t="shared" si="3"/>
        <v>238.81</v>
      </c>
      <c r="O29" s="25">
        <f t="shared" si="0"/>
        <v>10</v>
      </c>
      <c r="P29" s="25" t="str" cm="1">
        <f t="array" ref="P29">_xlfn.IFS(O29&lt;4,"Speedy",O29&lt;7,"Standard",O29&gt;=7,"Slow")</f>
        <v>Slow</v>
      </c>
      <c r="Q29" s="25" t="str">
        <f t="shared" si="4"/>
        <v>May</v>
      </c>
      <c r="R29" s="25" t="str">
        <f t="shared" si="1"/>
        <v>2024</v>
      </c>
      <c r="S29" s="25" t="str">
        <f t="shared" si="2"/>
        <v>May 2024</v>
      </c>
      <c r="T29" s="25" t="str">
        <f>_xlfn.XLOOKUP(B29,REF_Products!$A$2:$A$41,REF_Products!$C$2:$C$41)</f>
        <v>Furniture</v>
      </c>
    </row>
    <row r="30" spans="1:20">
      <c r="A30" s="4" t="s">
        <v>531</v>
      </c>
      <c r="B30" s="4" t="s">
        <v>321</v>
      </c>
      <c r="C30" s="4" t="s">
        <v>588</v>
      </c>
      <c r="D30" s="4">
        <v>9</v>
      </c>
      <c r="E30" s="13">
        <v>267.01</v>
      </c>
      <c r="F30" s="15">
        <v>45459</v>
      </c>
      <c r="G30" s="15">
        <v>45462</v>
      </c>
      <c r="H30" s="4" t="s">
        <v>71</v>
      </c>
      <c r="I30" s="4" t="s">
        <v>46</v>
      </c>
      <c r="J30" s="4" t="s">
        <v>475</v>
      </c>
      <c r="K30" s="4" t="s">
        <v>48</v>
      </c>
      <c r="N30" s="25">
        <f t="shared" si="3"/>
        <v>2403.09</v>
      </c>
      <c r="O30" s="25">
        <f t="shared" si="0"/>
        <v>3</v>
      </c>
      <c r="P30" s="25" t="str" cm="1">
        <f t="array" ref="P30">_xlfn.IFS(O30&lt;4,"Speedy",O30&lt;7,"Standard",O30&gt;=7,"Slow")</f>
        <v>Speedy</v>
      </c>
      <c r="Q30" s="25" t="str">
        <f t="shared" si="4"/>
        <v>June</v>
      </c>
      <c r="R30" s="25" t="str">
        <f t="shared" si="1"/>
        <v>2024</v>
      </c>
      <c r="S30" s="25" t="str">
        <f t="shared" si="2"/>
        <v>June 2024</v>
      </c>
      <c r="T30" s="25" t="str">
        <f>_xlfn.XLOOKUP(B30,REF_Products!$A$2:$A$41,REF_Products!$C$2:$C$41)</f>
        <v>Furniture</v>
      </c>
    </row>
    <row r="31" spans="1:20">
      <c r="A31" s="4" t="s">
        <v>403</v>
      </c>
      <c r="B31" s="4" t="s">
        <v>234</v>
      </c>
      <c r="C31" s="4" t="s">
        <v>235</v>
      </c>
      <c r="D31" s="4">
        <v>10</v>
      </c>
      <c r="E31" s="13">
        <v>16.71</v>
      </c>
      <c r="F31" s="15">
        <v>45259</v>
      </c>
      <c r="G31" s="15">
        <v>45266</v>
      </c>
      <c r="H31" s="4" t="s">
        <v>192</v>
      </c>
      <c r="I31" s="4" t="s">
        <v>31</v>
      </c>
      <c r="J31" s="4" t="s">
        <v>589</v>
      </c>
      <c r="K31" s="4" t="s">
        <v>48</v>
      </c>
      <c r="N31" s="25">
        <f t="shared" si="3"/>
        <v>167.10000000000002</v>
      </c>
      <c r="O31" s="25">
        <f t="shared" si="0"/>
        <v>7</v>
      </c>
      <c r="P31" s="25" t="str" cm="1">
        <f t="array" ref="P31">_xlfn.IFS(O31&lt;4,"Speedy",O31&lt;7,"Standard",O31&gt;=7,"Slow")</f>
        <v>Slow</v>
      </c>
      <c r="Q31" s="25" t="str">
        <f t="shared" si="4"/>
        <v>November</v>
      </c>
      <c r="R31" s="25" t="str">
        <f t="shared" si="1"/>
        <v>2023</v>
      </c>
      <c r="S31" s="25" t="str">
        <f t="shared" si="2"/>
        <v>November 2023</v>
      </c>
      <c r="T31" s="25" t="str">
        <f>_xlfn.XLOOKUP(B31,REF_Products!$A$2:$A$41,REF_Products!$C$2:$C$41)</f>
        <v>Electronics</v>
      </c>
    </row>
    <row r="32" spans="1:20">
      <c r="A32" s="4" t="s">
        <v>221</v>
      </c>
      <c r="B32" s="4" t="s">
        <v>113</v>
      </c>
      <c r="C32" s="4" t="s">
        <v>114</v>
      </c>
      <c r="D32" s="4">
        <v>9</v>
      </c>
      <c r="E32" s="13">
        <v>14.1</v>
      </c>
      <c r="F32" s="15">
        <v>45275</v>
      </c>
      <c r="G32" s="15">
        <v>45288</v>
      </c>
      <c r="H32" s="4" t="s">
        <v>557</v>
      </c>
      <c r="I32" s="4" t="s">
        <v>31</v>
      </c>
      <c r="J32" s="4" t="s">
        <v>590</v>
      </c>
      <c r="K32" s="4" t="s">
        <v>26</v>
      </c>
      <c r="N32" s="25">
        <f t="shared" si="3"/>
        <v>126.89999999999999</v>
      </c>
      <c r="O32" s="25">
        <f t="shared" si="0"/>
        <v>13</v>
      </c>
      <c r="P32" s="25" t="str" cm="1">
        <f t="array" ref="P32">_xlfn.IFS(O32&lt;4,"Speedy",O32&lt;7,"Standard",O32&gt;=7,"Slow")</f>
        <v>Slow</v>
      </c>
      <c r="Q32" s="25" t="str">
        <f t="shared" si="4"/>
        <v>December</v>
      </c>
      <c r="R32" s="25" t="str">
        <f t="shared" si="1"/>
        <v>2023</v>
      </c>
      <c r="S32" s="25" t="str">
        <f t="shared" si="2"/>
        <v>December 2023</v>
      </c>
      <c r="T32" s="25" t="str">
        <f>_xlfn.XLOOKUP(B32,REF_Products!$A$2:$A$41,REF_Products!$C$2:$C$41)</f>
        <v>Sportswear</v>
      </c>
    </row>
    <row r="33" spans="1:20">
      <c r="A33" s="4" t="s">
        <v>85</v>
      </c>
      <c r="B33" s="4" t="s">
        <v>35</v>
      </c>
      <c r="C33" s="4" t="s">
        <v>591</v>
      </c>
      <c r="D33" s="4">
        <v>9</v>
      </c>
      <c r="E33" s="13">
        <v>70.34</v>
      </c>
      <c r="F33" s="15">
        <v>45331</v>
      </c>
      <c r="G33" s="15">
        <v>45340</v>
      </c>
      <c r="H33" s="4" t="s">
        <v>553</v>
      </c>
      <c r="I33" s="4" t="s">
        <v>111</v>
      </c>
      <c r="J33" s="4" t="s">
        <v>592</v>
      </c>
      <c r="K33" s="4" t="s">
        <v>559</v>
      </c>
      <c r="N33" s="25">
        <f t="shared" si="3"/>
        <v>633.06000000000006</v>
      </c>
      <c r="O33" s="25">
        <f t="shared" si="0"/>
        <v>9</v>
      </c>
      <c r="P33" s="25" t="str" cm="1">
        <f t="array" ref="P33">_xlfn.IFS(O33&lt;4,"Speedy",O33&lt;7,"Standard",O33&gt;=7,"Slow")</f>
        <v>Slow</v>
      </c>
      <c r="Q33" s="25" t="str">
        <f t="shared" si="4"/>
        <v>February</v>
      </c>
      <c r="R33" s="25" t="str">
        <f t="shared" si="1"/>
        <v>2024</v>
      </c>
      <c r="S33" s="25" t="str">
        <f t="shared" si="2"/>
        <v>February 2024</v>
      </c>
      <c r="T33" s="25" t="str">
        <f>_xlfn.XLOOKUP(B33,REF_Products!$A$2:$A$41,REF_Products!$C$2:$C$41)</f>
        <v>Stationery</v>
      </c>
    </row>
    <row r="34" spans="1:20">
      <c r="A34" s="4" t="s">
        <v>171</v>
      </c>
      <c r="B34" s="4" t="s">
        <v>201</v>
      </c>
      <c r="C34" s="4" t="s">
        <v>593</v>
      </c>
      <c r="D34" s="4">
        <v>5</v>
      </c>
      <c r="E34" s="13">
        <v>143.53</v>
      </c>
      <c r="F34" s="15">
        <v>45265</v>
      </c>
      <c r="G34" s="15">
        <v>45272</v>
      </c>
      <c r="H34" s="4" t="s">
        <v>357</v>
      </c>
      <c r="I34" s="4" t="s">
        <v>24</v>
      </c>
      <c r="J34" s="4" t="s">
        <v>594</v>
      </c>
      <c r="K34" s="4" t="s">
        <v>26</v>
      </c>
      <c r="N34" s="25">
        <f t="shared" si="3"/>
        <v>717.65</v>
      </c>
      <c r="O34" s="25">
        <f t="shared" si="0"/>
        <v>7</v>
      </c>
      <c r="P34" s="25" t="str" cm="1">
        <f t="array" ref="P34">_xlfn.IFS(O34&lt;4,"Speedy",O34&lt;7,"Standard",O34&gt;=7,"Slow")</f>
        <v>Slow</v>
      </c>
      <c r="Q34" s="25" t="str">
        <f t="shared" si="4"/>
        <v>December</v>
      </c>
      <c r="R34" s="25" t="str">
        <f t="shared" si="1"/>
        <v>2023</v>
      </c>
      <c r="S34" s="25" t="str">
        <f t="shared" si="2"/>
        <v>December 2023</v>
      </c>
      <c r="T34" s="25" t="str">
        <f>_xlfn.XLOOKUP(B34,REF_Products!$A$2:$A$41,REF_Products!$C$2:$C$41)</f>
        <v>Books</v>
      </c>
    </row>
    <row r="35" spans="1:20">
      <c r="A35" s="4" t="s">
        <v>314</v>
      </c>
      <c r="B35" s="4" t="s">
        <v>156</v>
      </c>
      <c r="C35" s="4" t="s">
        <v>595</v>
      </c>
      <c r="D35" s="4">
        <v>5</v>
      </c>
      <c r="E35" s="13">
        <v>219.96</v>
      </c>
      <c r="F35" s="15">
        <v>45227</v>
      </c>
      <c r="G35" s="15">
        <v>45231</v>
      </c>
      <c r="H35" s="4" t="s">
        <v>510</v>
      </c>
      <c r="I35" s="4" t="s">
        <v>24</v>
      </c>
      <c r="J35" s="4" t="s">
        <v>511</v>
      </c>
      <c r="K35" s="4" t="s">
        <v>559</v>
      </c>
      <c r="N35" s="25">
        <f t="shared" si="3"/>
        <v>1099.8</v>
      </c>
      <c r="O35" s="25">
        <f t="shared" si="0"/>
        <v>4</v>
      </c>
      <c r="P35" s="25" t="str" cm="1">
        <f t="array" ref="P35">_xlfn.IFS(O35&lt;4,"Speedy",O35&lt;7,"Standard",O35&gt;=7,"Slow")</f>
        <v>Standard</v>
      </c>
      <c r="Q35" s="25" t="str">
        <f t="shared" si="4"/>
        <v>October</v>
      </c>
      <c r="R35" s="25" t="str">
        <f t="shared" si="1"/>
        <v>2023</v>
      </c>
      <c r="S35" s="25" t="str">
        <f t="shared" si="2"/>
        <v>October 2023</v>
      </c>
      <c r="T35" s="25" t="str">
        <f>_xlfn.XLOOKUP(B35,REF_Products!$A$2:$A$41,REF_Products!$C$2:$C$41)</f>
        <v>Books</v>
      </c>
    </row>
    <row r="36" spans="1:20">
      <c r="A36" s="4" t="s">
        <v>73</v>
      </c>
      <c r="B36" s="4" t="s">
        <v>315</v>
      </c>
      <c r="C36" s="4" t="s">
        <v>596</v>
      </c>
      <c r="D36" s="4">
        <v>9</v>
      </c>
      <c r="E36" s="13">
        <v>202.75</v>
      </c>
      <c r="F36" s="15">
        <v>44934</v>
      </c>
      <c r="G36" s="15">
        <v>44936</v>
      </c>
      <c r="H36" s="4" t="s">
        <v>562</v>
      </c>
      <c r="I36" s="4" t="s">
        <v>24</v>
      </c>
      <c r="J36" s="4" t="s">
        <v>542</v>
      </c>
      <c r="K36" s="4" t="s">
        <v>18</v>
      </c>
      <c r="N36" s="25">
        <f t="shared" si="3"/>
        <v>1824.75</v>
      </c>
      <c r="O36" s="25">
        <f t="shared" si="0"/>
        <v>2</v>
      </c>
      <c r="P36" s="25" t="str" cm="1">
        <f t="array" ref="P36">_xlfn.IFS(O36&lt;4,"Speedy",O36&lt;7,"Standard",O36&gt;=7,"Slow")</f>
        <v>Speedy</v>
      </c>
      <c r="Q36" s="25" t="str">
        <f t="shared" si="4"/>
        <v>January</v>
      </c>
      <c r="R36" s="25" t="str">
        <f t="shared" si="1"/>
        <v>2023</v>
      </c>
      <c r="S36" s="25" t="str">
        <f t="shared" si="2"/>
        <v>January 2023</v>
      </c>
      <c r="T36" s="25" t="str">
        <f>_xlfn.XLOOKUP(B36,REF_Products!$A$2:$A$41,REF_Products!$C$2:$C$41)</f>
        <v>Kitchen</v>
      </c>
    </row>
    <row r="37" spans="1:20">
      <c r="A37" s="4" t="s">
        <v>184</v>
      </c>
      <c r="B37" s="4" t="s">
        <v>101</v>
      </c>
      <c r="C37" s="4" t="s">
        <v>584</v>
      </c>
      <c r="D37" s="4">
        <v>10</v>
      </c>
      <c r="E37" s="13">
        <v>16.53</v>
      </c>
      <c r="F37" s="15">
        <v>44947</v>
      </c>
      <c r="G37" s="15">
        <v>44950</v>
      </c>
      <c r="H37" s="4" t="s">
        <v>555</v>
      </c>
      <c r="I37" s="4" t="s">
        <v>16</v>
      </c>
      <c r="J37" s="4" t="s">
        <v>104</v>
      </c>
      <c r="K37" s="4" t="s">
        <v>559</v>
      </c>
      <c r="N37" s="25">
        <f t="shared" si="3"/>
        <v>165.3</v>
      </c>
      <c r="O37" s="25">
        <f t="shared" si="0"/>
        <v>3</v>
      </c>
      <c r="P37" s="25" t="str" cm="1">
        <f t="array" ref="P37">_xlfn.IFS(O37&lt;4,"Speedy",O37&lt;7,"Standard",O37&gt;=7,"Slow")</f>
        <v>Speedy</v>
      </c>
      <c r="Q37" s="25" t="str">
        <f t="shared" si="4"/>
        <v>January</v>
      </c>
      <c r="R37" s="25" t="str">
        <f t="shared" si="1"/>
        <v>2023</v>
      </c>
      <c r="S37" s="25" t="str">
        <f t="shared" si="2"/>
        <v>January 2023</v>
      </c>
      <c r="T37" s="25" t="str">
        <f>_xlfn.XLOOKUP(B37,REF_Products!$A$2:$A$41,REF_Products!$C$2:$C$41)</f>
        <v>Health</v>
      </c>
    </row>
    <row r="38" spans="1:20">
      <c r="A38" s="4" t="s">
        <v>118</v>
      </c>
      <c r="B38" s="4" t="s">
        <v>43</v>
      </c>
      <c r="C38" s="4" t="s">
        <v>597</v>
      </c>
      <c r="D38" s="4">
        <v>7</v>
      </c>
      <c r="E38" s="13">
        <v>17.350000000000001</v>
      </c>
      <c r="F38" s="15">
        <v>45338</v>
      </c>
      <c r="G38" s="15">
        <v>45339</v>
      </c>
      <c r="H38" s="4" t="s">
        <v>71</v>
      </c>
      <c r="I38" s="4" t="s">
        <v>24</v>
      </c>
      <c r="J38" s="4" t="s">
        <v>598</v>
      </c>
      <c r="K38" s="4" t="s">
        <v>559</v>
      </c>
      <c r="N38" s="25">
        <f t="shared" si="3"/>
        <v>121.45000000000002</v>
      </c>
      <c r="O38" s="25">
        <f t="shared" si="0"/>
        <v>1</v>
      </c>
      <c r="P38" s="25" t="str" cm="1">
        <f t="array" ref="P38">_xlfn.IFS(O38&lt;4,"Speedy",O38&lt;7,"Standard",O38&gt;=7,"Slow")</f>
        <v>Speedy</v>
      </c>
      <c r="Q38" s="25" t="str">
        <f t="shared" si="4"/>
        <v>February</v>
      </c>
      <c r="R38" s="25" t="str">
        <f t="shared" si="1"/>
        <v>2024</v>
      </c>
      <c r="S38" s="25" t="str">
        <f t="shared" si="2"/>
        <v>February 2024</v>
      </c>
      <c r="T38" s="25" t="str">
        <f>_xlfn.XLOOKUP(B38,REF_Products!$A$2:$A$41,REF_Products!$C$2:$C$41)</f>
        <v>Clothing</v>
      </c>
    </row>
    <row r="39" spans="1:20">
      <c r="A39" s="4" t="s">
        <v>61</v>
      </c>
      <c r="B39" s="4" t="s">
        <v>309</v>
      </c>
      <c r="C39" s="4" t="s">
        <v>310</v>
      </c>
      <c r="D39" s="4">
        <v>10</v>
      </c>
      <c r="E39" s="13">
        <v>153.61000000000001</v>
      </c>
      <c r="F39" s="15">
        <v>45421</v>
      </c>
      <c r="G39" s="15">
        <v>45424</v>
      </c>
      <c r="H39" s="4" t="s">
        <v>192</v>
      </c>
      <c r="I39" s="4" t="s">
        <v>24</v>
      </c>
      <c r="J39" s="4" t="s">
        <v>313</v>
      </c>
      <c r="K39" s="4" t="s">
        <v>18</v>
      </c>
      <c r="N39" s="25">
        <f t="shared" si="3"/>
        <v>1536.1000000000001</v>
      </c>
      <c r="O39" s="25">
        <f t="shared" si="0"/>
        <v>3</v>
      </c>
      <c r="P39" s="25" t="str" cm="1">
        <f t="array" ref="P39">_xlfn.IFS(O39&lt;4,"Speedy",O39&lt;7,"Standard",O39&gt;=7,"Slow")</f>
        <v>Speedy</v>
      </c>
      <c r="Q39" s="25" t="str">
        <f t="shared" si="4"/>
        <v>May</v>
      </c>
      <c r="R39" s="25" t="str">
        <f t="shared" si="1"/>
        <v>2024</v>
      </c>
      <c r="S39" s="25" t="str">
        <f t="shared" si="2"/>
        <v>May 2024</v>
      </c>
      <c r="T39" s="25" t="str">
        <f>_xlfn.XLOOKUP(B39,REF_Products!$A$2:$A$41,REF_Products!$C$2:$C$41)</f>
        <v>Stationery</v>
      </c>
    </row>
    <row r="40" spans="1:20">
      <c r="A40" s="4" t="s">
        <v>11</v>
      </c>
      <c r="B40" s="4" t="s">
        <v>20</v>
      </c>
      <c r="C40" s="4" t="s">
        <v>599</v>
      </c>
      <c r="D40" s="4">
        <v>2</v>
      </c>
      <c r="E40" s="13">
        <v>76.22</v>
      </c>
      <c r="F40" s="15">
        <v>45397</v>
      </c>
      <c r="G40" s="15">
        <v>45407</v>
      </c>
      <c r="H40" s="4" t="s">
        <v>562</v>
      </c>
      <c r="I40" s="4" t="s">
        <v>46</v>
      </c>
      <c r="J40" s="4" t="s">
        <v>343</v>
      </c>
      <c r="K40" s="4" t="s">
        <v>559</v>
      </c>
      <c r="N40" s="25">
        <f t="shared" si="3"/>
        <v>152.44</v>
      </c>
      <c r="O40" s="25">
        <f t="shared" si="0"/>
        <v>10</v>
      </c>
      <c r="P40" s="25" t="str" cm="1">
        <f t="array" ref="P40">_xlfn.IFS(O40&lt;4,"Speedy",O40&lt;7,"Standard",O40&gt;=7,"Slow")</f>
        <v>Slow</v>
      </c>
      <c r="Q40" s="25" t="str">
        <f t="shared" si="4"/>
        <v>April</v>
      </c>
      <c r="R40" s="25" t="str">
        <f t="shared" si="1"/>
        <v>2024</v>
      </c>
      <c r="S40" s="25" t="str">
        <f t="shared" si="2"/>
        <v>April 2024</v>
      </c>
      <c r="T40" s="25" t="str">
        <f>_xlfn.XLOOKUP(B40,REF_Products!$A$2:$A$41,REF_Products!$C$2:$C$41)</f>
        <v>Health</v>
      </c>
    </row>
    <row r="41" spans="1:20">
      <c r="A41" s="4" t="s">
        <v>299</v>
      </c>
      <c r="B41" s="4" t="s">
        <v>156</v>
      </c>
      <c r="C41" s="4" t="s">
        <v>595</v>
      </c>
      <c r="D41" s="4">
        <v>5</v>
      </c>
      <c r="E41" s="13">
        <v>252.06</v>
      </c>
      <c r="F41" s="15">
        <v>45326</v>
      </c>
      <c r="G41" s="15">
        <v>45331</v>
      </c>
      <c r="H41" s="4" t="s">
        <v>510</v>
      </c>
      <c r="I41" s="4" t="s">
        <v>111</v>
      </c>
      <c r="J41" s="4" t="s">
        <v>515</v>
      </c>
      <c r="K41" s="4" t="s">
        <v>559</v>
      </c>
      <c r="N41" s="25">
        <f t="shared" si="3"/>
        <v>1260.3</v>
      </c>
      <c r="O41" s="25">
        <f t="shared" si="0"/>
        <v>5</v>
      </c>
      <c r="P41" s="25" t="str" cm="1">
        <f t="array" ref="P41">_xlfn.IFS(O41&lt;4,"Speedy",O41&lt;7,"Standard",O41&gt;=7,"Slow")</f>
        <v>Standard</v>
      </c>
      <c r="Q41" s="25" t="str">
        <f t="shared" si="4"/>
        <v>February</v>
      </c>
      <c r="R41" s="25" t="str">
        <f t="shared" si="1"/>
        <v>2024</v>
      </c>
      <c r="S41" s="25" t="str">
        <f t="shared" si="2"/>
        <v>February 2024</v>
      </c>
      <c r="T41" s="25" t="str">
        <f>_xlfn.XLOOKUP(B41,REF_Products!$A$2:$A$41,REF_Products!$C$2:$C$41)</f>
        <v>Books</v>
      </c>
    </row>
    <row r="42" spans="1:20">
      <c r="A42" s="4" t="s">
        <v>194</v>
      </c>
      <c r="B42" s="4" t="s">
        <v>143</v>
      </c>
      <c r="C42" s="4" t="s">
        <v>577</v>
      </c>
      <c r="D42" s="4">
        <v>5</v>
      </c>
      <c r="E42" s="13">
        <v>265.83999999999997</v>
      </c>
      <c r="F42" s="15">
        <v>45340</v>
      </c>
      <c r="G42" s="15">
        <v>45346</v>
      </c>
      <c r="H42" s="4" t="s">
        <v>555</v>
      </c>
      <c r="I42" s="4" t="s">
        <v>16</v>
      </c>
      <c r="J42" s="4" t="s">
        <v>600</v>
      </c>
      <c r="K42" s="4" t="s">
        <v>559</v>
      </c>
      <c r="N42" s="25">
        <f t="shared" si="3"/>
        <v>1329.1999999999998</v>
      </c>
      <c r="O42" s="25">
        <f t="shared" si="0"/>
        <v>6</v>
      </c>
      <c r="P42" s="25" t="str" cm="1">
        <f t="array" ref="P42">_xlfn.IFS(O42&lt;4,"Speedy",O42&lt;7,"Standard",O42&gt;=7,"Slow")</f>
        <v>Standard</v>
      </c>
      <c r="Q42" s="25" t="str">
        <f t="shared" si="4"/>
        <v>February</v>
      </c>
      <c r="R42" s="25" t="str">
        <f t="shared" si="1"/>
        <v>2024</v>
      </c>
      <c r="S42" s="25" t="str">
        <f t="shared" si="2"/>
        <v>February 2024</v>
      </c>
      <c r="T42" s="25" t="str">
        <f>_xlfn.XLOOKUP(B42,REF_Products!$A$2:$A$41,REF_Products!$C$2:$C$41)</f>
        <v>Kitchen</v>
      </c>
    </row>
    <row r="43" spans="1:20">
      <c r="A43" s="4" t="s">
        <v>455</v>
      </c>
      <c r="B43" s="4" t="s">
        <v>50</v>
      </c>
      <c r="C43" s="4" t="s">
        <v>556</v>
      </c>
      <c r="D43" s="4">
        <v>6</v>
      </c>
      <c r="E43" s="13">
        <v>119.84</v>
      </c>
      <c r="F43" s="15">
        <v>45092</v>
      </c>
      <c r="G43" s="15">
        <v>45098</v>
      </c>
      <c r="H43" s="4" t="s">
        <v>555</v>
      </c>
      <c r="I43" s="4" t="s">
        <v>16</v>
      </c>
      <c r="J43" s="4" t="s">
        <v>601</v>
      </c>
      <c r="K43" s="4" t="s">
        <v>559</v>
      </c>
      <c r="N43" s="25">
        <f t="shared" si="3"/>
        <v>719.04</v>
      </c>
      <c r="O43" s="25">
        <f t="shared" si="0"/>
        <v>6</v>
      </c>
      <c r="P43" s="25" t="str" cm="1">
        <f t="array" ref="P43">_xlfn.IFS(O43&lt;4,"Speedy",O43&lt;7,"Standard",O43&gt;=7,"Slow")</f>
        <v>Standard</v>
      </c>
      <c r="Q43" s="25" t="str">
        <f t="shared" si="4"/>
        <v>June</v>
      </c>
      <c r="R43" s="25" t="str">
        <f t="shared" si="1"/>
        <v>2023</v>
      </c>
      <c r="S43" s="25" t="str">
        <f t="shared" si="2"/>
        <v>June 2023</v>
      </c>
      <c r="T43" s="25" t="str">
        <f>_xlfn.XLOOKUP(B43,REF_Products!$A$2:$A$41,REF_Products!$C$2:$C$41)</f>
        <v>Sportswear</v>
      </c>
    </row>
    <row r="44" spans="1:20">
      <c r="A44" s="4" t="s">
        <v>291</v>
      </c>
      <c r="B44" s="4" t="s">
        <v>201</v>
      </c>
      <c r="C44" s="4" t="s">
        <v>593</v>
      </c>
      <c r="D44" s="4">
        <v>2</v>
      </c>
      <c r="E44" s="13">
        <v>271.31</v>
      </c>
      <c r="F44" s="15">
        <v>45155</v>
      </c>
      <c r="G44" s="15">
        <v>45167</v>
      </c>
      <c r="H44" s="4" t="s">
        <v>357</v>
      </c>
      <c r="I44" s="4" t="s">
        <v>111</v>
      </c>
      <c r="J44" s="4" t="s">
        <v>602</v>
      </c>
      <c r="K44" s="4" t="s">
        <v>559</v>
      </c>
      <c r="N44" s="25">
        <f t="shared" si="3"/>
        <v>542.62</v>
      </c>
      <c r="O44" s="25">
        <f t="shared" si="0"/>
        <v>12</v>
      </c>
      <c r="P44" s="25" t="str" cm="1">
        <f t="array" ref="P44">_xlfn.IFS(O44&lt;4,"Speedy",O44&lt;7,"Standard",O44&gt;=7,"Slow")</f>
        <v>Slow</v>
      </c>
      <c r="Q44" s="25" t="str">
        <f t="shared" si="4"/>
        <v>August</v>
      </c>
      <c r="R44" s="25" t="str">
        <f t="shared" si="1"/>
        <v>2023</v>
      </c>
      <c r="S44" s="25" t="str">
        <f t="shared" si="2"/>
        <v>August 2023</v>
      </c>
      <c r="T44" s="25" t="str">
        <f>_xlfn.XLOOKUP(B44,REF_Products!$A$2:$A$41,REF_Products!$C$2:$C$41)</f>
        <v>Books</v>
      </c>
    </row>
    <row r="45" spans="1:20">
      <c r="A45" s="4" t="s">
        <v>55</v>
      </c>
      <c r="B45" s="4" t="s">
        <v>240</v>
      </c>
      <c r="C45" s="4" t="s">
        <v>603</v>
      </c>
      <c r="D45" s="4">
        <v>3</v>
      </c>
      <c r="E45" s="13">
        <v>188.01</v>
      </c>
      <c r="F45" s="15">
        <v>45419</v>
      </c>
      <c r="G45" s="15">
        <v>45425</v>
      </c>
      <c r="H45" s="4" t="s">
        <v>71</v>
      </c>
      <c r="I45" s="4" t="s">
        <v>24</v>
      </c>
      <c r="J45" s="4" t="s">
        <v>243</v>
      </c>
      <c r="K45" s="4" t="s">
        <v>559</v>
      </c>
      <c r="N45" s="25">
        <f t="shared" si="3"/>
        <v>564.03</v>
      </c>
      <c r="O45" s="25">
        <f t="shared" si="0"/>
        <v>6</v>
      </c>
      <c r="P45" s="25" t="str" cm="1">
        <f t="array" ref="P45">_xlfn.IFS(O45&lt;4,"Speedy",O45&lt;7,"Standard",O45&gt;=7,"Slow")</f>
        <v>Standard</v>
      </c>
      <c r="Q45" s="25" t="str">
        <f t="shared" si="4"/>
        <v>May</v>
      </c>
      <c r="R45" s="25" t="str">
        <f t="shared" si="1"/>
        <v>2024</v>
      </c>
      <c r="S45" s="25" t="str">
        <f t="shared" si="2"/>
        <v>May 2024</v>
      </c>
      <c r="T45" s="25" t="str">
        <f>_xlfn.XLOOKUP(B45,REF_Products!$A$2:$A$41,REF_Products!$C$2:$C$41)</f>
        <v>Sportswear</v>
      </c>
    </row>
    <row r="46" spans="1:20">
      <c r="A46" s="4" t="s">
        <v>330</v>
      </c>
      <c r="B46" s="4" t="s">
        <v>143</v>
      </c>
      <c r="C46" s="4" t="s">
        <v>577</v>
      </c>
      <c r="D46" s="4">
        <v>6</v>
      </c>
      <c r="E46" s="13">
        <v>209.94</v>
      </c>
      <c r="F46" s="15">
        <v>45417</v>
      </c>
      <c r="G46" s="15">
        <v>45430</v>
      </c>
      <c r="H46" s="4" t="s">
        <v>510</v>
      </c>
      <c r="I46" s="4" t="s">
        <v>31</v>
      </c>
      <c r="J46" s="4" t="s">
        <v>341</v>
      </c>
      <c r="K46" s="4" t="s">
        <v>33</v>
      </c>
      <c r="N46" s="25">
        <f t="shared" si="3"/>
        <v>1259.6399999999999</v>
      </c>
      <c r="O46" s="25">
        <f t="shared" si="0"/>
        <v>13</v>
      </c>
      <c r="P46" s="25" t="str" cm="1">
        <f t="array" ref="P46">_xlfn.IFS(O46&lt;4,"Speedy",O46&lt;7,"Standard",O46&gt;=7,"Slow")</f>
        <v>Slow</v>
      </c>
      <c r="Q46" s="25" t="str">
        <f t="shared" si="4"/>
        <v>May</v>
      </c>
      <c r="R46" s="25" t="str">
        <f t="shared" si="1"/>
        <v>2024</v>
      </c>
      <c r="S46" s="25" t="str">
        <f t="shared" si="2"/>
        <v>May 2024</v>
      </c>
      <c r="T46" s="25" t="str">
        <f>_xlfn.XLOOKUP(B46,REF_Products!$A$2:$A$41,REF_Products!$C$2:$C$41)</f>
        <v>Kitchen</v>
      </c>
    </row>
    <row r="47" spans="1:20">
      <c r="A47" s="4" t="s">
        <v>397</v>
      </c>
      <c r="B47" s="4" t="s">
        <v>50</v>
      </c>
      <c r="C47" s="4" t="s">
        <v>556</v>
      </c>
      <c r="D47" s="4">
        <v>6</v>
      </c>
      <c r="E47" s="13">
        <v>73.67</v>
      </c>
      <c r="F47" s="15">
        <v>45075</v>
      </c>
      <c r="G47" s="15">
        <v>45079</v>
      </c>
      <c r="H47" s="4" t="s">
        <v>357</v>
      </c>
      <c r="I47" s="4" t="s">
        <v>24</v>
      </c>
      <c r="J47" s="4" t="s">
        <v>604</v>
      </c>
      <c r="K47" s="4" t="s">
        <v>559</v>
      </c>
      <c r="N47" s="25">
        <f t="shared" si="3"/>
        <v>442.02</v>
      </c>
      <c r="O47" s="25">
        <f t="shared" si="0"/>
        <v>4</v>
      </c>
      <c r="P47" s="25" t="str" cm="1">
        <f t="array" ref="P47">_xlfn.IFS(O47&lt;4,"Speedy",O47&lt;7,"Standard",O47&gt;=7,"Slow")</f>
        <v>Standard</v>
      </c>
      <c r="Q47" s="25" t="str">
        <f t="shared" si="4"/>
        <v>May</v>
      </c>
      <c r="R47" s="25" t="str">
        <f t="shared" si="1"/>
        <v>2023</v>
      </c>
      <c r="S47" s="25" t="str">
        <f t="shared" si="2"/>
        <v>May 2023</v>
      </c>
      <c r="T47" s="25" t="str">
        <f>_xlfn.XLOOKUP(B47,REF_Products!$A$2:$A$41,REF_Products!$C$2:$C$41)</f>
        <v>Sportswear</v>
      </c>
    </row>
    <row r="48" spans="1:20">
      <c r="A48" s="4" t="s">
        <v>139</v>
      </c>
      <c r="B48" s="4" t="s">
        <v>185</v>
      </c>
      <c r="C48" s="4" t="s">
        <v>186</v>
      </c>
      <c r="D48" s="4">
        <v>8</v>
      </c>
      <c r="E48" s="13">
        <v>102.27</v>
      </c>
      <c r="F48" s="15">
        <v>45418</v>
      </c>
      <c r="G48" s="15">
        <v>45419</v>
      </c>
      <c r="H48" s="4" t="s">
        <v>555</v>
      </c>
      <c r="I48" s="4" t="s">
        <v>16</v>
      </c>
      <c r="J48" s="4" t="s">
        <v>605</v>
      </c>
      <c r="K48" s="4" t="s">
        <v>559</v>
      </c>
      <c r="N48" s="25">
        <f t="shared" si="3"/>
        <v>818.16</v>
      </c>
      <c r="O48" s="25">
        <f t="shared" si="0"/>
        <v>1</v>
      </c>
      <c r="P48" s="25" t="str" cm="1">
        <f t="array" ref="P48">_xlfn.IFS(O48&lt;4,"Speedy",O48&lt;7,"Standard",O48&gt;=7,"Slow")</f>
        <v>Speedy</v>
      </c>
      <c r="Q48" s="25" t="str">
        <f t="shared" si="4"/>
        <v>May</v>
      </c>
      <c r="R48" s="25" t="str">
        <f t="shared" si="1"/>
        <v>2024</v>
      </c>
      <c r="S48" s="25" t="str">
        <f t="shared" si="2"/>
        <v>May 2024</v>
      </c>
      <c r="T48" s="25" t="str">
        <f>_xlfn.XLOOKUP(B48,REF_Products!$A$2:$A$41,REF_Products!$C$2:$C$41)</f>
        <v>Stationery</v>
      </c>
    </row>
    <row r="49" spans="1:20">
      <c r="A49" s="4" t="s">
        <v>94</v>
      </c>
      <c r="B49" s="4" t="s">
        <v>350</v>
      </c>
      <c r="C49" s="4" t="s">
        <v>566</v>
      </c>
      <c r="D49" s="4">
        <v>7</v>
      </c>
      <c r="E49" s="13">
        <v>235.41</v>
      </c>
      <c r="F49" s="15">
        <v>45307</v>
      </c>
      <c r="G49" s="15">
        <v>45320</v>
      </c>
      <c r="H49" s="4" t="s">
        <v>357</v>
      </c>
      <c r="I49" s="4" t="s">
        <v>16</v>
      </c>
      <c r="J49" s="4" t="s">
        <v>360</v>
      </c>
      <c r="K49" s="4" t="s">
        <v>559</v>
      </c>
      <c r="N49" s="25">
        <f t="shared" si="3"/>
        <v>1647.87</v>
      </c>
      <c r="O49" s="25">
        <f t="shared" si="0"/>
        <v>13</v>
      </c>
      <c r="P49" s="25" t="str" cm="1">
        <f t="array" ref="P49">_xlfn.IFS(O49&lt;4,"Speedy",O49&lt;7,"Standard",O49&gt;=7,"Slow")</f>
        <v>Slow</v>
      </c>
      <c r="Q49" s="25" t="str">
        <f t="shared" si="4"/>
        <v>January</v>
      </c>
      <c r="R49" s="25" t="str">
        <f t="shared" si="1"/>
        <v>2024</v>
      </c>
      <c r="S49" s="25" t="str">
        <f t="shared" si="2"/>
        <v>January 2024</v>
      </c>
      <c r="T49" s="25" t="str">
        <f>_xlfn.XLOOKUP(B49,REF_Products!$A$2:$A$41,REF_Products!$C$2:$C$41)</f>
        <v>Books</v>
      </c>
    </row>
    <row r="50" spans="1:20">
      <c r="A50" s="4" t="s">
        <v>34</v>
      </c>
      <c r="B50" s="4" t="s">
        <v>68</v>
      </c>
      <c r="C50" s="4" t="s">
        <v>606</v>
      </c>
      <c r="D50" s="4">
        <v>10</v>
      </c>
      <c r="E50" s="13">
        <v>124.09</v>
      </c>
      <c r="F50" s="15">
        <v>45339</v>
      </c>
      <c r="G50" s="15">
        <v>45347</v>
      </c>
      <c r="H50" s="4" t="s">
        <v>510</v>
      </c>
      <c r="I50" s="4" t="s">
        <v>111</v>
      </c>
      <c r="J50" s="4" t="s">
        <v>383</v>
      </c>
      <c r="K50" s="4" t="s">
        <v>559</v>
      </c>
      <c r="N50" s="25">
        <f t="shared" si="3"/>
        <v>1240.9000000000001</v>
      </c>
      <c r="O50" s="25">
        <f t="shared" si="0"/>
        <v>8</v>
      </c>
      <c r="P50" s="25" t="str" cm="1">
        <f t="array" ref="P50">_xlfn.IFS(O50&lt;4,"Speedy",O50&lt;7,"Standard",O50&gt;=7,"Slow")</f>
        <v>Slow</v>
      </c>
      <c r="Q50" s="25" t="str">
        <f t="shared" si="4"/>
        <v>February</v>
      </c>
      <c r="R50" s="25" t="str">
        <f t="shared" si="1"/>
        <v>2024</v>
      </c>
      <c r="S50" s="25" t="str">
        <f t="shared" si="2"/>
        <v>February 2024</v>
      </c>
      <c r="T50" s="25" t="str">
        <f>_xlfn.XLOOKUP(B50,REF_Products!$A$2:$A$41,REF_Products!$C$2:$C$41)</f>
        <v>Kitchen</v>
      </c>
    </row>
    <row r="51" spans="1:20">
      <c r="A51" s="4" t="s">
        <v>209</v>
      </c>
      <c r="B51" s="4" t="s">
        <v>431</v>
      </c>
      <c r="C51" s="4" t="s">
        <v>607</v>
      </c>
      <c r="D51" s="4">
        <v>1</v>
      </c>
      <c r="E51" s="13">
        <v>35.369999999999997</v>
      </c>
      <c r="F51" s="15">
        <v>45171</v>
      </c>
      <c r="G51" s="15">
        <v>45178</v>
      </c>
      <c r="H51" s="4" t="s">
        <v>71</v>
      </c>
      <c r="I51" s="4" t="s">
        <v>46</v>
      </c>
      <c r="J51" s="4" t="s">
        <v>608</v>
      </c>
      <c r="K51" s="4" t="s">
        <v>48</v>
      </c>
      <c r="N51" s="25">
        <f t="shared" si="3"/>
        <v>35.369999999999997</v>
      </c>
      <c r="O51" s="25">
        <f t="shared" si="0"/>
        <v>7</v>
      </c>
      <c r="P51" s="25" t="str" cm="1">
        <f t="array" ref="P51">_xlfn.IFS(O51&lt;4,"Speedy",O51&lt;7,"Standard",O51&gt;=7,"Slow")</f>
        <v>Slow</v>
      </c>
      <c r="Q51" s="25" t="str">
        <f t="shared" si="4"/>
        <v>September</v>
      </c>
      <c r="R51" s="25" t="str">
        <f t="shared" si="1"/>
        <v>2023</v>
      </c>
      <c r="S51" s="25" t="str">
        <f t="shared" si="2"/>
        <v>September 2023</v>
      </c>
      <c r="T51" s="25" t="str">
        <f>_xlfn.XLOOKUP(B51,REF_Products!$A$2:$A$41,REF_Products!$C$2:$C$41)</f>
        <v>Kitchen</v>
      </c>
    </row>
    <row r="52" spans="1:20">
      <c r="A52" s="4" t="s">
        <v>49</v>
      </c>
      <c r="B52" s="4" t="s">
        <v>12</v>
      </c>
      <c r="C52" s="4" t="s">
        <v>609</v>
      </c>
      <c r="D52" s="4">
        <v>7</v>
      </c>
      <c r="E52" s="13">
        <v>259.49</v>
      </c>
      <c r="F52" s="15">
        <v>45042</v>
      </c>
      <c r="G52" s="15">
        <v>45051</v>
      </c>
      <c r="H52" s="4" t="s">
        <v>557</v>
      </c>
      <c r="I52" s="4" t="s">
        <v>31</v>
      </c>
      <c r="J52" s="4" t="s">
        <v>610</v>
      </c>
      <c r="K52" s="4" t="s">
        <v>559</v>
      </c>
      <c r="N52" s="25">
        <f t="shared" si="3"/>
        <v>1816.43</v>
      </c>
      <c r="O52" s="25">
        <f t="shared" si="0"/>
        <v>9</v>
      </c>
      <c r="P52" s="25" t="str" cm="1">
        <f t="array" ref="P52">_xlfn.IFS(O52&lt;4,"Speedy",O52&lt;7,"Standard",O52&gt;=7,"Slow")</f>
        <v>Slow</v>
      </c>
      <c r="Q52" s="25" t="str">
        <f t="shared" si="4"/>
        <v>April</v>
      </c>
      <c r="R52" s="25" t="str">
        <f t="shared" si="1"/>
        <v>2023</v>
      </c>
      <c r="S52" s="25" t="str">
        <f t="shared" si="2"/>
        <v>April 2023</v>
      </c>
      <c r="T52" s="25" t="str">
        <f>_xlfn.XLOOKUP(B52,REF_Products!$A$2:$A$41,REF_Products!$C$2:$C$41)</f>
        <v>Kitchen</v>
      </c>
    </row>
    <row r="53" spans="1:20">
      <c r="A53" s="4" t="s">
        <v>105</v>
      </c>
      <c r="B53" s="4" t="s">
        <v>431</v>
      </c>
      <c r="C53" s="4" t="s">
        <v>607</v>
      </c>
      <c r="D53" s="4">
        <v>7</v>
      </c>
      <c r="E53" s="13">
        <v>286.95</v>
      </c>
      <c r="F53" s="15">
        <v>45292</v>
      </c>
      <c r="G53" s="15">
        <v>45296</v>
      </c>
      <c r="H53" s="4" t="s">
        <v>510</v>
      </c>
      <c r="I53" s="4" t="s">
        <v>16</v>
      </c>
      <c r="J53" s="4" t="s">
        <v>611</v>
      </c>
      <c r="K53" s="4" t="s">
        <v>559</v>
      </c>
      <c r="N53" s="25">
        <f t="shared" si="3"/>
        <v>2008.6499999999999</v>
      </c>
      <c r="O53" s="25">
        <f t="shared" si="0"/>
        <v>4</v>
      </c>
      <c r="P53" s="25" t="str" cm="1">
        <f t="array" ref="P53">_xlfn.IFS(O53&lt;4,"Speedy",O53&lt;7,"Standard",O53&gt;=7,"Slow")</f>
        <v>Standard</v>
      </c>
      <c r="Q53" s="25" t="str">
        <f t="shared" si="4"/>
        <v>January</v>
      </c>
      <c r="R53" s="25" t="str">
        <f t="shared" si="1"/>
        <v>2024</v>
      </c>
      <c r="S53" s="25" t="str">
        <f t="shared" si="2"/>
        <v>January 2024</v>
      </c>
      <c r="T53" s="25" t="str">
        <f>_xlfn.XLOOKUP(B53,REF_Products!$A$2:$A$41,REF_Products!$C$2:$C$41)</f>
        <v>Kitchen</v>
      </c>
    </row>
    <row r="54" spans="1:20">
      <c r="A54" s="4" t="s">
        <v>27</v>
      </c>
      <c r="B54" s="4" t="s">
        <v>354</v>
      </c>
      <c r="C54" s="4" t="s">
        <v>355</v>
      </c>
      <c r="D54" s="4">
        <v>10</v>
      </c>
      <c r="E54" s="13">
        <v>100.14</v>
      </c>
      <c r="F54" s="15">
        <v>45053</v>
      </c>
      <c r="G54" s="15">
        <v>45064</v>
      </c>
      <c r="H54" s="4" t="s">
        <v>71</v>
      </c>
      <c r="I54" s="4" t="s">
        <v>24</v>
      </c>
      <c r="J54" s="4" t="s">
        <v>612</v>
      </c>
      <c r="K54" s="4" t="s">
        <v>559</v>
      </c>
      <c r="N54" s="25">
        <f t="shared" si="3"/>
        <v>1001.4</v>
      </c>
      <c r="O54" s="25">
        <f t="shared" si="0"/>
        <v>11</v>
      </c>
      <c r="P54" s="25" t="str" cm="1">
        <f t="array" ref="P54">_xlfn.IFS(O54&lt;4,"Speedy",O54&lt;7,"Standard",O54&gt;=7,"Slow")</f>
        <v>Slow</v>
      </c>
      <c r="Q54" s="25" t="str">
        <f t="shared" si="4"/>
        <v>May</v>
      </c>
      <c r="R54" s="25" t="str">
        <f t="shared" si="1"/>
        <v>2023</v>
      </c>
      <c r="S54" s="25" t="str">
        <f t="shared" si="2"/>
        <v>May 2023</v>
      </c>
      <c r="T54" s="25" t="str">
        <f>_xlfn.XLOOKUP(B54,REF_Products!$A$2:$A$41,REF_Products!$C$2:$C$41)</f>
        <v>Sportswear</v>
      </c>
    </row>
    <row r="55" spans="1:20">
      <c r="A55" s="4" t="s">
        <v>142</v>
      </c>
      <c r="B55" s="4" t="s">
        <v>167</v>
      </c>
      <c r="C55" s="4" t="s">
        <v>168</v>
      </c>
      <c r="D55" s="4">
        <v>5</v>
      </c>
      <c r="E55" s="13">
        <v>180.52</v>
      </c>
      <c r="F55" s="15">
        <v>45440</v>
      </c>
      <c r="G55" s="15">
        <v>45454</v>
      </c>
      <c r="H55" s="4" t="s">
        <v>192</v>
      </c>
      <c r="I55" s="4" t="s">
        <v>31</v>
      </c>
      <c r="J55" s="4" t="s">
        <v>613</v>
      </c>
      <c r="K55" s="4" t="s">
        <v>48</v>
      </c>
      <c r="N55" s="25">
        <f t="shared" si="3"/>
        <v>902.6</v>
      </c>
      <c r="O55" s="25">
        <f t="shared" si="0"/>
        <v>14</v>
      </c>
      <c r="P55" s="25" t="str" cm="1">
        <f t="array" ref="P55">_xlfn.IFS(O55&lt;4,"Speedy",O55&lt;7,"Standard",O55&gt;=7,"Slow")</f>
        <v>Slow</v>
      </c>
      <c r="Q55" s="25" t="str">
        <f t="shared" si="4"/>
        <v>May</v>
      </c>
      <c r="R55" s="25" t="str">
        <f t="shared" si="1"/>
        <v>2024</v>
      </c>
      <c r="S55" s="25" t="str">
        <f t="shared" si="2"/>
        <v>May 2024</v>
      </c>
      <c r="T55" s="25" t="str">
        <f>_xlfn.XLOOKUP(B55,REF_Products!$A$2:$A$41,REF_Products!$C$2:$C$41)</f>
        <v>Furniture</v>
      </c>
    </row>
    <row r="56" spans="1:20">
      <c r="A56" s="4" t="s">
        <v>19</v>
      </c>
      <c r="B56" s="4" t="s">
        <v>62</v>
      </c>
      <c r="C56" s="4" t="s">
        <v>576</v>
      </c>
      <c r="D56" s="4">
        <v>6</v>
      </c>
      <c r="E56" s="13">
        <v>207.24</v>
      </c>
      <c r="F56" s="15">
        <v>45190</v>
      </c>
      <c r="G56" s="15">
        <v>45202</v>
      </c>
      <c r="H56" s="4" t="s">
        <v>553</v>
      </c>
      <c r="I56" s="4" t="s">
        <v>111</v>
      </c>
      <c r="J56" s="4" t="s">
        <v>362</v>
      </c>
      <c r="K56" s="4" t="s">
        <v>26</v>
      </c>
      <c r="N56" s="25">
        <f t="shared" si="3"/>
        <v>1243.44</v>
      </c>
      <c r="O56" s="25">
        <f t="shared" si="0"/>
        <v>12</v>
      </c>
      <c r="P56" s="25" t="str" cm="1">
        <f t="array" ref="P56">_xlfn.IFS(O56&lt;4,"Speedy",O56&lt;7,"Standard",O56&gt;=7,"Slow")</f>
        <v>Slow</v>
      </c>
      <c r="Q56" s="25" t="str">
        <f t="shared" si="4"/>
        <v>September</v>
      </c>
      <c r="R56" s="25" t="str">
        <f t="shared" si="1"/>
        <v>2023</v>
      </c>
      <c r="S56" s="25" t="str">
        <f t="shared" si="2"/>
        <v>September 2023</v>
      </c>
      <c r="T56" s="25" t="str">
        <f>_xlfn.XLOOKUP(B56,REF_Products!$A$2:$A$41,REF_Products!$C$2:$C$41)</f>
        <v>Electronics</v>
      </c>
    </row>
    <row r="57" spans="1:20">
      <c r="A57" s="4" t="s">
        <v>303</v>
      </c>
      <c r="B57" s="4" t="s">
        <v>50</v>
      </c>
      <c r="C57" s="4" t="s">
        <v>556</v>
      </c>
      <c r="D57" s="4">
        <v>4</v>
      </c>
      <c r="E57" s="13">
        <v>92.11</v>
      </c>
      <c r="F57" s="15">
        <v>45059</v>
      </c>
      <c r="G57" s="15">
        <v>45060</v>
      </c>
      <c r="H57" s="4" t="s">
        <v>357</v>
      </c>
      <c r="I57" s="4" t="s">
        <v>16</v>
      </c>
      <c r="J57" s="4" t="s">
        <v>614</v>
      </c>
      <c r="K57" s="4" t="s">
        <v>26</v>
      </c>
      <c r="N57" s="25">
        <f t="shared" si="3"/>
        <v>368.44</v>
      </c>
      <c r="O57" s="25">
        <f t="shared" si="0"/>
        <v>1</v>
      </c>
      <c r="P57" s="25" t="str" cm="1">
        <f t="array" ref="P57">_xlfn.IFS(O57&lt;4,"Speedy",O57&lt;7,"Standard",O57&gt;=7,"Slow")</f>
        <v>Speedy</v>
      </c>
      <c r="Q57" s="25" t="str">
        <f t="shared" si="4"/>
        <v>May</v>
      </c>
      <c r="R57" s="25" t="str">
        <f t="shared" si="1"/>
        <v>2023</v>
      </c>
      <c r="S57" s="25" t="str">
        <f t="shared" si="2"/>
        <v>May 2023</v>
      </c>
      <c r="T57" s="25" t="str">
        <f>_xlfn.XLOOKUP(B57,REF_Products!$A$2:$A$41,REF_Products!$C$2:$C$41)</f>
        <v>Sportswear</v>
      </c>
    </row>
    <row r="58" spans="1:20">
      <c r="A58" s="4" t="s">
        <v>366</v>
      </c>
      <c r="B58" s="4" t="s">
        <v>177</v>
      </c>
      <c r="C58" s="4" t="s">
        <v>178</v>
      </c>
      <c r="D58" s="4">
        <v>3</v>
      </c>
      <c r="E58" s="13">
        <v>162.19999999999999</v>
      </c>
      <c r="F58" s="15">
        <v>45325</v>
      </c>
      <c r="G58" s="15">
        <v>45327</v>
      </c>
      <c r="H58" s="4" t="s">
        <v>192</v>
      </c>
      <c r="I58" s="4" t="s">
        <v>16</v>
      </c>
      <c r="J58" s="4" t="s">
        <v>430</v>
      </c>
      <c r="K58" s="4" t="s">
        <v>559</v>
      </c>
      <c r="N58" s="25">
        <f t="shared" si="3"/>
        <v>486.59999999999997</v>
      </c>
      <c r="O58" s="25">
        <f t="shared" si="0"/>
        <v>2</v>
      </c>
      <c r="P58" s="25" t="str" cm="1">
        <f t="array" ref="P58">_xlfn.IFS(O58&lt;4,"Speedy",O58&lt;7,"Standard",O58&gt;=7,"Slow")</f>
        <v>Speedy</v>
      </c>
      <c r="Q58" s="25" t="str">
        <f t="shared" si="4"/>
        <v>February</v>
      </c>
      <c r="R58" s="25" t="str">
        <f t="shared" si="1"/>
        <v>2024</v>
      </c>
      <c r="S58" s="25" t="str">
        <f t="shared" si="2"/>
        <v>February 2024</v>
      </c>
      <c r="T58" s="25" t="str">
        <f>_xlfn.XLOOKUP(B58,REF_Products!$A$2:$A$41,REF_Products!$C$2:$C$41)</f>
        <v>Books</v>
      </c>
    </row>
    <row r="59" spans="1:20">
      <c r="A59" s="4" t="s">
        <v>67</v>
      </c>
      <c r="B59" s="4" t="s">
        <v>167</v>
      </c>
      <c r="C59" s="4" t="s">
        <v>168</v>
      </c>
      <c r="D59" s="4">
        <v>4</v>
      </c>
      <c r="E59" s="13">
        <v>125.94</v>
      </c>
      <c r="F59" s="15">
        <v>44992</v>
      </c>
      <c r="G59" s="15">
        <v>44999</v>
      </c>
      <c r="H59" s="4" t="s">
        <v>562</v>
      </c>
      <c r="I59" s="4" t="s">
        <v>111</v>
      </c>
      <c r="J59" s="4" t="s">
        <v>459</v>
      </c>
      <c r="K59" s="4" t="s">
        <v>559</v>
      </c>
      <c r="N59" s="25">
        <f t="shared" si="3"/>
        <v>503.76</v>
      </c>
      <c r="O59" s="25">
        <f t="shared" si="0"/>
        <v>7</v>
      </c>
      <c r="P59" s="25" t="str" cm="1">
        <f t="array" ref="P59">_xlfn.IFS(O59&lt;4,"Speedy",O59&lt;7,"Standard",O59&gt;=7,"Slow")</f>
        <v>Slow</v>
      </c>
      <c r="Q59" s="25" t="str">
        <f t="shared" si="4"/>
        <v>March</v>
      </c>
      <c r="R59" s="25" t="str">
        <f t="shared" si="1"/>
        <v>2023</v>
      </c>
      <c r="S59" s="25" t="str">
        <f t="shared" si="2"/>
        <v>March 2023</v>
      </c>
      <c r="T59" s="25" t="str">
        <f>_xlfn.XLOOKUP(B59,REF_Products!$A$2:$A$41,REF_Products!$C$2:$C$41)</f>
        <v>Furniture</v>
      </c>
    </row>
    <row r="60" spans="1:20">
      <c r="A60" s="4" t="s">
        <v>460</v>
      </c>
      <c r="B60" s="4" t="s">
        <v>265</v>
      </c>
      <c r="C60" s="4" t="s">
        <v>266</v>
      </c>
      <c r="D60" s="4">
        <v>5</v>
      </c>
      <c r="E60" s="13">
        <v>152.97999999999999</v>
      </c>
      <c r="F60" s="15">
        <v>45219</v>
      </c>
      <c r="G60" s="15">
        <v>45233</v>
      </c>
      <c r="H60" s="4" t="s">
        <v>510</v>
      </c>
      <c r="I60" s="4" t="s">
        <v>16</v>
      </c>
      <c r="J60" s="4" t="s">
        <v>482</v>
      </c>
      <c r="K60" s="4" t="s">
        <v>48</v>
      </c>
      <c r="N60" s="25">
        <f t="shared" si="3"/>
        <v>764.9</v>
      </c>
      <c r="O60" s="25">
        <f t="shared" si="0"/>
        <v>14</v>
      </c>
      <c r="P60" s="25" t="str" cm="1">
        <f t="array" ref="P60">_xlfn.IFS(O60&lt;4,"Speedy",O60&lt;7,"Standard",O60&gt;=7,"Slow")</f>
        <v>Slow</v>
      </c>
      <c r="Q60" s="25" t="str">
        <f t="shared" si="4"/>
        <v>October</v>
      </c>
      <c r="R60" s="25" t="str">
        <f t="shared" si="1"/>
        <v>2023</v>
      </c>
      <c r="S60" s="25" t="str">
        <f t="shared" si="2"/>
        <v>October 2023</v>
      </c>
      <c r="T60" s="25" t="str">
        <f>_xlfn.XLOOKUP(B60,REF_Products!$A$2:$A$41,REF_Products!$C$2:$C$41)</f>
        <v>Books</v>
      </c>
    </row>
    <row r="61" spans="1:20">
      <c r="A61" s="4" t="s">
        <v>444</v>
      </c>
      <c r="B61" s="4" t="s">
        <v>43</v>
      </c>
      <c r="C61" s="4" t="s">
        <v>597</v>
      </c>
      <c r="D61" s="4">
        <v>3</v>
      </c>
      <c r="E61" s="13">
        <v>86.83</v>
      </c>
      <c r="F61" s="15">
        <v>45377</v>
      </c>
      <c r="G61" s="15">
        <v>45384</v>
      </c>
      <c r="H61" s="4" t="s">
        <v>553</v>
      </c>
      <c r="I61" s="4" t="s">
        <v>46</v>
      </c>
      <c r="J61" s="4" t="s">
        <v>615</v>
      </c>
      <c r="K61" s="4" t="s">
        <v>48</v>
      </c>
      <c r="N61" s="25">
        <f t="shared" si="3"/>
        <v>260.49</v>
      </c>
      <c r="O61" s="25">
        <f t="shared" si="0"/>
        <v>7</v>
      </c>
      <c r="P61" s="25" t="str" cm="1">
        <f t="array" ref="P61">_xlfn.IFS(O61&lt;4,"Speedy",O61&lt;7,"Standard",O61&gt;=7,"Slow")</f>
        <v>Slow</v>
      </c>
      <c r="Q61" s="25" t="str">
        <f t="shared" si="4"/>
        <v>March</v>
      </c>
      <c r="R61" s="25" t="str">
        <f t="shared" si="1"/>
        <v>2024</v>
      </c>
      <c r="S61" s="25" t="str">
        <f t="shared" si="2"/>
        <v>March 2024</v>
      </c>
      <c r="T61" s="25" t="str">
        <f>_xlfn.XLOOKUP(B61,REF_Products!$A$2:$A$41,REF_Products!$C$2:$C$41)</f>
        <v>Clothing</v>
      </c>
    </row>
    <row r="62" spans="1:20">
      <c r="A62" s="4" t="s">
        <v>616</v>
      </c>
      <c r="B62" s="4" t="s">
        <v>431</v>
      </c>
      <c r="C62" s="4" t="s">
        <v>607</v>
      </c>
      <c r="D62" s="4">
        <v>6</v>
      </c>
      <c r="E62" s="13">
        <v>88.19</v>
      </c>
      <c r="F62" s="15">
        <v>45362</v>
      </c>
      <c r="G62" s="15">
        <v>45366</v>
      </c>
      <c r="H62" s="4" t="s">
        <v>192</v>
      </c>
      <c r="I62" s="4" t="s">
        <v>31</v>
      </c>
      <c r="J62" s="4" t="s">
        <v>617</v>
      </c>
      <c r="K62" s="4" t="s">
        <v>559</v>
      </c>
      <c r="N62" s="25">
        <f t="shared" si="3"/>
        <v>529.14</v>
      </c>
      <c r="O62" s="25">
        <f t="shared" si="0"/>
        <v>4</v>
      </c>
      <c r="P62" s="25" t="str" cm="1">
        <f t="array" ref="P62">_xlfn.IFS(O62&lt;4,"Speedy",O62&lt;7,"Standard",O62&gt;=7,"Slow")</f>
        <v>Standard</v>
      </c>
      <c r="Q62" s="25" t="str">
        <f t="shared" si="4"/>
        <v>March</v>
      </c>
      <c r="R62" s="25" t="str">
        <f t="shared" si="1"/>
        <v>2024</v>
      </c>
      <c r="S62" s="25" t="str">
        <f t="shared" si="2"/>
        <v>March 2024</v>
      </c>
      <c r="T62" s="25" t="str">
        <f>_xlfn.XLOOKUP(B62,REF_Products!$A$2:$A$41,REF_Products!$C$2:$C$41)</f>
        <v>Kitchen</v>
      </c>
    </row>
    <row r="63" spans="1:20">
      <c r="A63" s="4" t="s">
        <v>618</v>
      </c>
      <c r="B63" s="4" t="s">
        <v>43</v>
      </c>
      <c r="C63" s="4" t="s">
        <v>597</v>
      </c>
      <c r="D63" s="4">
        <v>4</v>
      </c>
      <c r="E63" s="13">
        <v>272.14</v>
      </c>
      <c r="F63" s="15">
        <v>45064</v>
      </c>
      <c r="G63" s="15">
        <v>45076</v>
      </c>
      <c r="H63" s="4" t="s">
        <v>562</v>
      </c>
      <c r="I63" s="4" t="s">
        <v>31</v>
      </c>
      <c r="J63" s="4" t="s">
        <v>130</v>
      </c>
      <c r="K63" s="4" t="s">
        <v>559</v>
      </c>
      <c r="N63" s="25">
        <f t="shared" si="3"/>
        <v>1088.56</v>
      </c>
      <c r="O63" s="25">
        <f t="shared" si="0"/>
        <v>12</v>
      </c>
      <c r="P63" s="25" t="str" cm="1">
        <f t="array" ref="P63">_xlfn.IFS(O63&lt;4,"Speedy",O63&lt;7,"Standard",O63&gt;=7,"Slow")</f>
        <v>Slow</v>
      </c>
      <c r="Q63" s="25" t="str">
        <f t="shared" si="4"/>
        <v>May</v>
      </c>
      <c r="R63" s="25" t="str">
        <f t="shared" si="1"/>
        <v>2023</v>
      </c>
      <c r="S63" s="25" t="str">
        <f t="shared" si="2"/>
        <v>May 2023</v>
      </c>
      <c r="T63" s="25" t="str">
        <f>_xlfn.XLOOKUP(B63,REF_Products!$A$2:$A$41,REF_Products!$C$2:$C$41)</f>
        <v>Clothing</v>
      </c>
    </row>
    <row r="64" spans="1:20">
      <c r="A64" s="4" t="s">
        <v>619</v>
      </c>
      <c r="B64" s="4" t="s">
        <v>89</v>
      </c>
      <c r="C64" s="4" t="s">
        <v>578</v>
      </c>
      <c r="D64" s="4">
        <v>7</v>
      </c>
      <c r="E64" s="13">
        <v>138.99</v>
      </c>
      <c r="F64" s="15">
        <v>44931</v>
      </c>
      <c r="G64" s="15">
        <v>44945</v>
      </c>
      <c r="H64" s="4" t="s">
        <v>553</v>
      </c>
      <c r="I64" s="4" t="s">
        <v>31</v>
      </c>
      <c r="J64" s="4" t="s">
        <v>620</v>
      </c>
      <c r="K64" s="4" t="s">
        <v>18</v>
      </c>
      <c r="N64" s="25">
        <f t="shared" si="3"/>
        <v>972.93000000000006</v>
      </c>
      <c r="O64" s="25">
        <f t="shared" si="0"/>
        <v>14</v>
      </c>
      <c r="P64" s="25" t="str" cm="1">
        <f t="array" ref="P64">_xlfn.IFS(O64&lt;4,"Speedy",O64&lt;7,"Standard",O64&gt;=7,"Slow")</f>
        <v>Slow</v>
      </c>
      <c r="Q64" s="25" t="str">
        <f t="shared" si="4"/>
        <v>January</v>
      </c>
      <c r="R64" s="25" t="str">
        <f t="shared" si="1"/>
        <v>2023</v>
      </c>
      <c r="S64" s="25" t="str">
        <f t="shared" si="2"/>
        <v>January 2023</v>
      </c>
      <c r="T64" s="25" t="str">
        <f>_xlfn.XLOOKUP(B64,REF_Products!$A$2:$A$41,REF_Products!$C$2:$C$41)</f>
        <v>Electronics</v>
      </c>
    </row>
    <row r="65" spans="1:20">
      <c r="A65" s="4" t="s">
        <v>621</v>
      </c>
      <c r="B65" s="4" t="s">
        <v>20</v>
      </c>
      <c r="C65" s="4" t="s">
        <v>599</v>
      </c>
      <c r="D65" s="4">
        <v>1</v>
      </c>
      <c r="E65" s="13">
        <v>54.94</v>
      </c>
      <c r="F65" s="15">
        <v>45301</v>
      </c>
      <c r="G65" s="15">
        <v>45307</v>
      </c>
      <c r="H65" s="4" t="s">
        <v>357</v>
      </c>
      <c r="I65" s="4" t="s">
        <v>24</v>
      </c>
      <c r="J65" s="4" t="s">
        <v>622</v>
      </c>
      <c r="K65" s="4" t="s">
        <v>18</v>
      </c>
      <c r="N65" s="25">
        <f t="shared" si="3"/>
        <v>54.94</v>
      </c>
      <c r="O65" s="25">
        <f t="shared" si="0"/>
        <v>6</v>
      </c>
      <c r="P65" s="25" t="str" cm="1">
        <f t="array" ref="P65">_xlfn.IFS(O65&lt;4,"Speedy",O65&lt;7,"Standard",O65&gt;=7,"Slow")</f>
        <v>Standard</v>
      </c>
      <c r="Q65" s="25" t="str">
        <f t="shared" si="4"/>
        <v>January</v>
      </c>
      <c r="R65" s="25" t="str">
        <f t="shared" si="1"/>
        <v>2024</v>
      </c>
      <c r="S65" s="25" t="str">
        <f t="shared" si="2"/>
        <v>January 2024</v>
      </c>
      <c r="T65" s="25" t="str">
        <f>_xlfn.XLOOKUP(B65,REF_Products!$A$2:$A$41,REF_Products!$C$2:$C$41)</f>
        <v>Health</v>
      </c>
    </row>
    <row r="66" spans="1:20">
      <c r="A66" s="4" t="s">
        <v>623</v>
      </c>
      <c r="B66" s="4" t="s">
        <v>271</v>
      </c>
      <c r="C66" s="4" t="s">
        <v>573</v>
      </c>
      <c r="D66" s="4">
        <v>2</v>
      </c>
      <c r="E66" s="13">
        <v>22.26</v>
      </c>
      <c r="F66" s="15">
        <v>44938</v>
      </c>
      <c r="G66" s="15">
        <v>44949</v>
      </c>
      <c r="H66" s="4" t="s">
        <v>510</v>
      </c>
      <c r="I66" s="4" t="s">
        <v>111</v>
      </c>
      <c r="J66" s="4" t="s">
        <v>533</v>
      </c>
      <c r="K66" s="4" t="s">
        <v>559</v>
      </c>
      <c r="N66" s="25">
        <f t="shared" si="3"/>
        <v>44.52</v>
      </c>
      <c r="O66" s="25">
        <f t="shared" si="0"/>
        <v>11</v>
      </c>
      <c r="P66" s="25" t="str" cm="1">
        <f t="array" ref="P66">_xlfn.IFS(O66&lt;4,"Speedy",O66&lt;7,"Standard",O66&gt;=7,"Slow")</f>
        <v>Slow</v>
      </c>
      <c r="Q66" s="25" t="str">
        <f t="shared" si="4"/>
        <v>January</v>
      </c>
      <c r="R66" s="25" t="str">
        <f t="shared" si="1"/>
        <v>2023</v>
      </c>
      <c r="S66" s="25" t="str">
        <f t="shared" si="2"/>
        <v>January 2023</v>
      </c>
      <c r="T66" s="25" t="str">
        <f>_xlfn.XLOOKUP(B66,REF_Products!$A$2:$A$41,REF_Products!$C$2:$C$41)</f>
        <v>Electronics</v>
      </c>
    </row>
    <row r="67" spans="1:20">
      <c r="A67" s="4" t="s">
        <v>624</v>
      </c>
      <c r="B67" s="4" t="s">
        <v>251</v>
      </c>
      <c r="C67" s="4" t="s">
        <v>560</v>
      </c>
      <c r="D67" s="4">
        <v>2</v>
      </c>
      <c r="E67" s="13">
        <v>121.54</v>
      </c>
      <c r="F67" s="15">
        <v>45411</v>
      </c>
      <c r="G67" s="15">
        <v>45417</v>
      </c>
      <c r="H67" s="4" t="s">
        <v>510</v>
      </c>
      <c r="I67" s="4" t="s">
        <v>16</v>
      </c>
      <c r="J67" s="4" t="s">
        <v>405</v>
      </c>
      <c r="K67" s="4" t="s">
        <v>559</v>
      </c>
      <c r="N67" s="25">
        <f t="shared" si="3"/>
        <v>243.08</v>
      </c>
      <c r="O67" s="25">
        <f t="shared" ref="O67:O130" si="5">_xlfn.DAYS(G67,F67)</f>
        <v>6</v>
      </c>
      <c r="P67" s="25" t="str" cm="1">
        <f t="array" ref="P67">_xlfn.IFS(O67&lt;4,"Speedy",O67&lt;7,"Standard",O67&gt;=7,"Slow")</f>
        <v>Standard</v>
      </c>
      <c r="Q67" s="25" t="str">
        <f t="shared" si="4"/>
        <v>April</v>
      </c>
      <c r="R67" s="25" t="str">
        <f t="shared" ref="R67:R130" si="6">TEXT(F67,"yyyy")</f>
        <v>2024</v>
      </c>
      <c r="S67" s="25" t="str">
        <f t="shared" ref="S67:S130" si="7">CONCATENATE(Q67," ",R67)</f>
        <v>April 2024</v>
      </c>
      <c r="T67" s="25" t="str">
        <f>_xlfn.XLOOKUP(B67,REF_Products!$A$2:$A$41,REF_Products!$C$2:$C$41)</f>
        <v>Health</v>
      </c>
    </row>
    <row r="68" spans="1:20">
      <c r="A68" s="4" t="s">
        <v>625</v>
      </c>
      <c r="B68" s="4" t="s">
        <v>350</v>
      </c>
      <c r="C68" s="4" t="s">
        <v>566</v>
      </c>
      <c r="D68" s="4">
        <v>5</v>
      </c>
      <c r="E68" s="13">
        <v>159.4</v>
      </c>
      <c r="F68" s="15">
        <v>45457</v>
      </c>
      <c r="G68" s="15">
        <v>45470</v>
      </c>
      <c r="H68" s="4" t="s">
        <v>510</v>
      </c>
      <c r="I68" s="4" t="s">
        <v>111</v>
      </c>
      <c r="J68" s="4" t="s">
        <v>500</v>
      </c>
      <c r="K68" s="4" t="s">
        <v>559</v>
      </c>
      <c r="N68" s="25">
        <f t="shared" ref="N68:N131" si="8">PRODUCT(D68:E68)</f>
        <v>797</v>
      </c>
      <c r="O68" s="25">
        <f t="shared" si="5"/>
        <v>13</v>
      </c>
      <c r="P68" s="25" t="str" cm="1">
        <f t="array" ref="P68">_xlfn.IFS(O68&lt;4,"Speedy",O68&lt;7,"Standard",O68&gt;=7,"Slow")</f>
        <v>Slow</v>
      </c>
      <c r="Q68" s="25" t="str">
        <f t="shared" ref="Q68:Q131" si="9">TEXT(F68,"mmmm")</f>
        <v>June</v>
      </c>
      <c r="R68" s="25" t="str">
        <f t="shared" si="6"/>
        <v>2024</v>
      </c>
      <c r="S68" s="25" t="str">
        <f t="shared" si="7"/>
        <v>June 2024</v>
      </c>
      <c r="T68" s="25" t="str">
        <f>_xlfn.XLOOKUP(B68,REF_Products!$A$2:$A$41,REF_Products!$C$2:$C$41)</f>
        <v>Books</v>
      </c>
    </row>
    <row r="69" spans="1:20">
      <c r="A69" s="4" t="s">
        <v>626</v>
      </c>
      <c r="B69" s="4" t="s">
        <v>89</v>
      </c>
      <c r="C69" s="4" t="s">
        <v>578</v>
      </c>
      <c r="D69" s="4">
        <v>7</v>
      </c>
      <c r="E69" s="13">
        <v>213</v>
      </c>
      <c r="F69" s="15">
        <v>45237</v>
      </c>
      <c r="G69" s="15">
        <v>45238</v>
      </c>
      <c r="H69" s="4" t="s">
        <v>562</v>
      </c>
      <c r="I69" s="4" t="s">
        <v>111</v>
      </c>
      <c r="J69" s="4" t="s">
        <v>559</v>
      </c>
      <c r="K69" s="4" t="s">
        <v>559</v>
      </c>
      <c r="N69" s="25">
        <f t="shared" si="8"/>
        <v>1491</v>
      </c>
      <c r="O69" s="25">
        <f t="shared" si="5"/>
        <v>1</v>
      </c>
      <c r="P69" s="25" t="str" cm="1">
        <f t="array" ref="P69">_xlfn.IFS(O69&lt;4,"Speedy",O69&lt;7,"Standard",O69&gt;=7,"Slow")</f>
        <v>Speedy</v>
      </c>
      <c r="Q69" s="25" t="str">
        <f t="shared" si="9"/>
        <v>November</v>
      </c>
      <c r="R69" s="25" t="str">
        <f t="shared" si="6"/>
        <v>2023</v>
      </c>
      <c r="S69" s="25" t="str">
        <f t="shared" si="7"/>
        <v>November 2023</v>
      </c>
      <c r="T69" s="25" t="str">
        <f>_xlfn.XLOOKUP(B69,REF_Products!$A$2:$A$41,REF_Products!$C$2:$C$41)</f>
        <v>Electronics</v>
      </c>
    </row>
    <row r="70" spans="1:20">
      <c r="A70" s="4" t="s">
        <v>627</v>
      </c>
      <c r="B70" s="4" t="s">
        <v>251</v>
      </c>
      <c r="C70" s="4" t="s">
        <v>560</v>
      </c>
      <c r="D70" s="4">
        <v>6</v>
      </c>
      <c r="E70" s="13">
        <v>105.98</v>
      </c>
      <c r="F70" s="15">
        <v>45176</v>
      </c>
      <c r="G70" s="15">
        <v>45177</v>
      </c>
      <c r="H70" s="4" t="s">
        <v>557</v>
      </c>
      <c r="I70" s="4" t="s">
        <v>16</v>
      </c>
      <c r="J70" s="4" t="s">
        <v>628</v>
      </c>
      <c r="K70" s="4" t="s">
        <v>18</v>
      </c>
      <c r="N70" s="25">
        <f t="shared" si="8"/>
        <v>635.88</v>
      </c>
      <c r="O70" s="25">
        <f t="shared" si="5"/>
        <v>1</v>
      </c>
      <c r="P70" s="25" t="str" cm="1">
        <f t="array" ref="P70">_xlfn.IFS(O70&lt;4,"Speedy",O70&lt;7,"Standard",O70&gt;=7,"Slow")</f>
        <v>Speedy</v>
      </c>
      <c r="Q70" s="25" t="str">
        <f t="shared" si="9"/>
        <v>September</v>
      </c>
      <c r="R70" s="25" t="str">
        <f t="shared" si="6"/>
        <v>2023</v>
      </c>
      <c r="S70" s="25" t="str">
        <f t="shared" si="7"/>
        <v>September 2023</v>
      </c>
      <c r="T70" s="25" t="str">
        <f>_xlfn.XLOOKUP(B70,REF_Products!$A$2:$A$41,REF_Products!$C$2:$C$41)</f>
        <v>Health</v>
      </c>
    </row>
    <row r="71" spans="1:20">
      <c r="A71" s="4" t="s">
        <v>629</v>
      </c>
      <c r="B71" s="4" t="s">
        <v>50</v>
      </c>
      <c r="C71" s="4" t="s">
        <v>556</v>
      </c>
      <c r="D71" s="4">
        <v>6</v>
      </c>
      <c r="E71" s="13">
        <v>209.22</v>
      </c>
      <c r="F71" s="15">
        <v>45004</v>
      </c>
      <c r="G71" s="15">
        <v>45013</v>
      </c>
      <c r="H71" s="4" t="s">
        <v>553</v>
      </c>
      <c r="I71" s="4" t="s">
        <v>16</v>
      </c>
      <c r="J71" s="4" t="s">
        <v>337</v>
      </c>
      <c r="K71" s="4" t="s">
        <v>559</v>
      </c>
      <c r="N71" s="25">
        <f t="shared" si="8"/>
        <v>1255.32</v>
      </c>
      <c r="O71" s="25">
        <f t="shared" si="5"/>
        <v>9</v>
      </c>
      <c r="P71" s="25" t="str" cm="1">
        <f t="array" ref="P71">_xlfn.IFS(O71&lt;4,"Speedy",O71&lt;7,"Standard",O71&gt;=7,"Slow")</f>
        <v>Slow</v>
      </c>
      <c r="Q71" s="25" t="str">
        <f t="shared" si="9"/>
        <v>March</v>
      </c>
      <c r="R71" s="25" t="str">
        <f t="shared" si="6"/>
        <v>2023</v>
      </c>
      <c r="S71" s="25" t="str">
        <f t="shared" si="7"/>
        <v>March 2023</v>
      </c>
      <c r="T71" s="25" t="str">
        <f>_xlfn.XLOOKUP(B71,REF_Products!$A$2:$A$41,REF_Products!$C$2:$C$41)</f>
        <v>Sportswear</v>
      </c>
    </row>
    <row r="72" spans="1:20">
      <c r="A72" s="4" t="s">
        <v>630</v>
      </c>
      <c r="B72" s="4" t="s">
        <v>177</v>
      </c>
      <c r="C72" s="4" t="s">
        <v>178</v>
      </c>
      <c r="D72" s="4">
        <v>5</v>
      </c>
      <c r="E72" s="13">
        <v>100.44</v>
      </c>
      <c r="F72" s="15">
        <v>45436</v>
      </c>
      <c r="G72" s="15">
        <v>45446</v>
      </c>
      <c r="H72" s="4" t="s">
        <v>192</v>
      </c>
      <c r="I72" s="4" t="s">
        <v>46</v>
      </c>
      <c r="J72" s="4" t="s">
        <v>508</v>
      </c>
      <c r="K72" s="4" t="s">
        <v>559</v>
      </c>
      <c r="N72" s="25">
        <f t="shared" si="8"/>
        <v>502.2</v>
      </c>
      <c r="O72" s="25">
        <f t="shared" si="5"/>
        <v>10</v>
      </c>
      <c r="P72" s="25" t="str" cm="1">
        <f t="array" ref="P72">_xlfn.IFS(O72&lt;4,"Speedy",O72&lt;7,"Standard",O72&gt;=7,"Slow")</f>
        <v>Slow</v>
      </c>
      <c r="Q72" s="25" t="str">
        <f t="shared" si="9"/>
        <v>May</v>
      </c>
      <c r="R72" s="25" t="str">
        <f t="shared" si="6"/>
        <v>2024</v>
      </c>
      <c r="S72" s="25" t="str">
        <f t="shared" si="7"/>
        <v>May 2024</v>
      </c>
      <c r="T72" s="25" t="str">
        <f>_xlfn.XLOOKUP(B72,REF_Products!$A$2:$A$41,REF_Products!$C$2:$C$41)</f>
        <v>Books</v>
      </c>
    </row>
    <row r="73" spans="1:20">
      <c r="A73" s="4" t="s">
        <v>631</v>
      </c>
      <c r="B73" s="4" t="s">
        <v>56</v>
      </c>
      <c r="C73" s="4" t="s">
        <v>575</v>
      </c>
      <c r="D73" s="4">
        <v>5</v>
      </c>
      <c r="E73" s="13">
        <v>84.81</v>
      </c>
      <c r="F73" s="15">
        <v>44999</v>
      </c>
      <c r="G73" s="15">
        <v>45003</v>
      </c>
      <c r="H73" s="4" t="s">
        <v>562</v>
      </c>
      <c r="I73" s="4" t="s">
        <v>16</v>
      </c>
      <c r="J73" s="4" t="s">
        <v>632</v>
      </c>
      <c r="K73" s="4" t="s">
        <v>559</v>
      </c>
      <c r="N73" s="25">
        <f t="shared" si="8"/>
        <v>424.05</v>
      </c>
      <c r="O73" s="25">
        <f t="shared" si="5"/>
        <v>4</v>
      </c>
      <c r="P73" s="25" t="str" cm="1">
        <f t="array" ref="P73">_xlfn.IFS(O73&lt;4,"Speedy",O73&lt;7,"Standard",O73&gt;=7,"Slow")</f>
        <v>Standard</v>
      </c>
      <c r="Q73" s="25" t="str">
        <f t="shared" si="9"/>
        <v>March</v>
      </c>
      <c r="R73" s="25" t="str">
        <f t="shared" si="6"/>
        <v>2023</v>
      </c>
      <c r="S73" s="25" t="str">
        <f t="shared" si="7"/>
        <v>March 2023</v>
      </c>
      <c r="T73" s="25" t="str">
        <f>_xlfn.XLOOKUP(B73,REF_Products!$A$2:$A$41,REF_Products!$C$2:$C$41)</f>
        <v>Stationery</v>
      </c>
    </row>
    <row r="74" spans="1:20">
      <c r="A74" s="4" t="s">
        <v>633</v>
      </c>
      <c r="B74" s="4" t="s">
        <v>113</v>
      </c>
      <c r="C74" s="4" t="s">
        <v>114</v>
      </c>
      <c r="D74" s="4">
        <v>3</v>
      </c>
      <c r="E74" s="13">
        <v>240.17</v>
      </c>
      <c r="F74" s="15">
        <v>45323</v>
      </c>
      <c r="G74" s="15">
        <v>45324</v>
      </c>
      <c r="H74" s="4" t="s">
        <v>192</v>
      </c>
      <c r="I74" s="4" t="s">
        <v>46</v>
      </c>
      <c r="J74" s="4" t="s">
        <v>408</v>
      </c>
      <c r="K74" s="4" t="s">
        <v>559</v>
      </c>
      <c r="N74" s="25">
        <f t="shared" si="8"/>
        <v>720.51</v>
      </c>
      <c r="O74" s="25">
        <f t="shared" si="5"/>
        <v>1</v>
      </c>
      <c r="P74" s="25" t="str" cm="1">
        <f t="array" ref="P74">_xlfn.IFS(O74&lt;4,"Speedy",O74&lt;7,"Standard",O74&gt;=7,"Slow")</f>
        <v>Speedy</v>
      </c>
      <c r="Q74" s="25" t="str">
        <f t="shared" si="9"/>
        <v>February</v>
      </c>
      <c r="R74" s="25" t="str">
        <f t="shared" si="6"/>
        <v>2024</v>
      </c>
      <c r="S74" s="25" t="str">
        <f t="shared" si="7"/>
        <v>February 2024</v>
      </c>
      <c r="T74" s="25" t="str">
        <f>_xlfn.XLOOKUP(B74,REF_Products!$A$2:$A$41,REF_Products!$C$2:$C$41)</f>
        <v>Sportswear</v>
      </c>
    </row>
    <row r="75" spans="1:20">
      <c r="A75" s="4" t="s">
        <v>634</v>
      </c>
      <c r="B75" s="4" t="s">
        <v>251</v>
      </c>
      <c r="C75" s="4" t="s">
        <v>560</v>
      </c>
      <c r="D75" s="4">
        <v>4</v>
      </c>
      <c r="E75" s="13">
        <v>193.76</v>
      </c>
      <c r="F75" s="15">
        <v>45440</v>
      </c>
      <c r="G75" s="15">
        <v>45453</v>
      </c>
      <c r="H75" s="4" t="s">
        <v>562</v>
      </c>
      <c r="I75" s="4" t="s">
        <v>46</v>
      </c>
      <c r="J75" s="4" t="s">
        <v>635</v>
      </c>
      <c r="K75" s="4" t="s">
        <v>18</v>
      </c>
      <c r="N75" s="25">
        <f t="shared" si="8"/>
        <v>775.04</v>
      </c>
      <c r="O75" s="25">
        <f t="shared" si="5"/>
        <v>13</v>
      </c>
      <c r="P75" s="25" t="str" cm="1">
        <f t="array" ref="P75">_xlfn.IFS(O75&lt;4,"Speedy",O75&lt;7,"Standard",O75&gt;=7,"Slow")</f>
        <v>Slow</v>
      </c>
      <c r="Q75" s="25" t="str">
        <f t="shared" si="9"/>
        <v>May</v>
      </c>
      <c r="R75" s="25" t="str">
        <f t="shared" si="6"/>
        <v>2024</v>
      </c>
      <c r="S75" s="25" t="str">
        <f t="shared" si="7"/>
        <v>May 2024</v>
      </c>
      <c r="T75" s="25" t="str">
        <f>_xlfn.XLOOKUP(B75,REF_Products!$A$2:$A$41,REF_Products!$C$2:$C$41)</f>
        <v>Health</v>
      </c>
    </row>
    <row r="76" spans="1:20">
      <c r="A76" s="4" t="s">
        <v>636</v>
      </c>
      <c r="B76" s="4" t="s">
        <v>167</v>
      </c>
      <c r="C76" s="4" t="s">
        <v>168</v>
      </c>
      <c r="D76" s="4">
        <v>9</v>
      </c>
      <c r="E76" s="13">
        <v>71.290000000000006</v>
      </c>
      <c r="F76" s="15">
        <v>45455</v>
      </c>
      <c r="G76" s="15">
        <v>45459</v>
      </c>
      <c r="H76" s="4" t="s">
        <v>510</v>
      </c>
      <c r="I76" s="4" t="s">
        <v>16</v>
      </c>
      <c r="J76" s="4" t="s">
        <v>637</v>
      </c>
      <c r="K76" s="4" t="s">
        <v>559</v>
      </c>
      <c r="N76" s="25">
        <f t="shared" si="8"/>
        <v>641.61</v>
      </c>
      <c r="O76" s="25">
        <f t="shared" si="5"/>
        <v>4</v>
      </c>
      <c r="P76" s="25" t="str" cm="1">
        <f t="array" ref="P76">_xlfn.IFS(O76&lt;4,"Speedy",O76&lt;7,"Standard",O76&gt;=7,"Slow")</f>
        <v>Standard</v>
      </c>
      <c r="Q76" s="25" t="str">
        <f t="shared" si="9"/>
        <v>June</v>
      </c>
      <c r="R76" s="25" t="str">
        <f t="shared" si="6"/>
        <v>2024</v>
      </c>
      <c r="S76" s="25" t="str">
        <f t="shared" si="7"/>
        <v>June 2024</v>
      </c>
      <c r="T76" s="25" t="str">
        <f>_xlfn.XLOOKUP(B76,REF_Products!$A$2:$A$41,REF_Products!$C$2:$C$41)</f>
        <v>Furniture</v>
      </c>
    </row>
    <row r="77" spans="1:20">
      <c r="A77" s="4" t="s">
        <v>638</v>
      </c>
      <c r="B77" s="4" t="s">
        <v>113</v>
      </c>
      <c r="C77" s="4" t="s">
        <v>114</v>
      </c>
      <c r="D77" s="4">
        <v>8</v>
      </c>
      <c r="E77" s="13">
        <v>13.73</v>
      </c>
      <c r="F77" s="15">
        <v>45410</v>
      </c>
      <c r="G77" s="15">
        <v>45413</v>
      </c>
      <c r="H77" s="4" t="s">
        <v>510</v>
      </c>
      <c r="I77" s="4" t="s">
        <v>46</v>
      </c>
      <c r="J77" s="4" t="s">
        <v>345</v>
      </c>
      <c r="K77" s="4" t="s">
        <v>559</v>
      </c>
      <c r="N77" s="25">
        <f t="shared" si="8"/>
        <v>109.84</v>
      </c>
      <c r="O77" s="25">
        <f t="shared" si="5"/>
        <v>3</v>
      </c>
      <c r="P77" s="25" t="str" cm="1">
        <f t="array" ref="P77">_xlfn.IFS(O77&lt;4,"Speedy",O77&lt;7,"Standard",O77&gt;=7,"Slow")</f>
        <v>Speedy</v>
      </c>
      <c r="Q77" s="25" t="str">
        <f t="shared" si="9"/>
        <v>April</v>
      </c>
      <c r="R77" s="25" t="str">
        <f t="shared" si="6"/>
        <v>2024</v>
      </c>
      <c r="S77" s="25" t="str">
        <f t="shared" si="7"/>
        <v>April 2024</v>
      </c>
      <c r="T77" s="25" t="str">
        <f>_xlfn.XLOOKUP(B77,REF_Products!$A$2:$A$41,REF_Products!$C$2:$C$41)</f>
        <v>Sportswear</v>
      </c>
    </row>
    <row r="78" spans="1:20">
      <c r="A78" s="4" t="s">
        <v>639</v>
      </c>
      <c r="B78" s="4" t="s">
        <v>251</v>
      </c>
      <c r="C78" s="4" t="s">
        <v>560</v>
      </c>
      <c r="D78" s="4">
        <v>6</v>
      </c>
      <c r="E78" s="13">
        <v>258.57</v>
      </c>
      <c r="F78" s="15">
        <v>45104</v>
      </c>
      <c r="G78" s="15">
        <v>45107</v>
      </c>
      <c r="H78" s="4" t="s">
        <v>562</v>
      </c>
      <c r="I78" s="4" t="s">
        <v>16</v>
      </c>
      <c r="J78" s="4" t="s">
        <v>640</v>
      </c>
      <c r="K78" s="4" t="s">
        <v>26</v>
      </c>
      <c r="N78" s="25">
        <f t="shared" si="8"/>
        <v>1551.42</v>
      </c>
      <c r="O78" s="25">
        <f t="shared" si="5"/>
        <v>3</v>
      </c>
      <c r="P78" s="25" t="str" cm="1">
        <f t="array" ref="P78">_xlfn.IFS(O78&lt;4,"Speedy",O78&lt;7,"Standard",O78&gt;=7,"Slow")</f>
        <v>Speedy</v>
      </c>
      <c r="Q78" s="25" t="str">
        <f t="shared" si="9"/>
        <v>June</v>
      </c>
      <c r="R78" s="25" t="str">
        <f t="shared" si="6"/>
        <v>2023</v>
      </c>
      <c r="S78" s="25" t="str">
        <f t="shared" si="7"/>
        <v>June 2023</v>
      </c>
      <c r="T78" s="25" t="str">
        <f>_xlfn.XLOOKUP(B78,REF_Products!$A$2:$A$41,REF_Products!$C$2:$C$41)</f>
        <v>Health</v>
      </c>
    </row>
    <row r="79" spans="1:20">
      <c r="A79" s="4" t="s">
        <v>641</v>
      </c>
      <c r="B79" s="4" t="s">
        <v>315</v>
      </c>
      <c r="C79" s="4" t="s">
        <v>596</v>
      </c>
      <c r="D79" s="4">
        <v>5</v>
      </c>
      <c r="E79" s="13">
        <v>8.2200000000000006</v>
      </c>
      <c r="F79" s="15">
        <v>44941</v>
      </c>
      <c r="G79" s="15">
        <v>44954</v>
      </c>
      <c r="H79" s="4" t="s">
        <v>192</v>
      </c>
      <c r="I79" s="4" t="s">
        <v>31</v>
      </c>
      <c r="J79" s="4" t="s">
        <v>319</v>
      </c>
      <c r="K79" s="4" t="s">
        <v>559</v>
      </c>
      <c r="N79" s="25">
        <f t="shared" si="8"/>
        <v>41.1</v>
      </c>
      <c r="O79" s="25">
        <f t="shared" si="5"/>
        <v>13</v>
      </c>
      <c r="P79" s="25" t="str" cm="1">
        <f t="array" ref="P79">_xlfn.IFS(O79&lt;4,"Speedy",O79&lt;7,"Standard",O79&gt;=7,"Slow")</f>
        <v>Slow</v>
      </c>
      <c r="Q79" s="25" t="str">
        <f t="shared" si="9"/>
        <v>January</v>
      </c>
      <c r="R79" s="25" t="str">
        <f t="shared" si="6"/>
        <v>2023</v>
      </c>
      <c r="S79" s="25" t="str">
        <f t="shared" si="7"/>
        <v>January 2023</v>
      </c>
      <c r="T79" s="25" t="str">
        <f>_xlfn.XLOOKUP(B79,REF_Products!$A$2:$A$41,REF_Products!$C$2:$C$41)</f>
        <v>Kitchen</v>
      </c>
    </row>
    <row r="80" spans="1:20">
      <c r="A80" s="4" t="s">
        <v>642</v>
      </c>
      <c r="B80" s="4" t="s">
        <v>369</v>
      </c>
      <c r="C80" s="4" t="s">
        <v>370</v>
      </c>
      <c r="D80" s="4">
        <v>10</v>
      </c>
      <c r="E80" s="13">
        <v>192.27</v>
      </c>
      <c r="F80" s="15">
        <v>45383</v>
      </c>
      <c r="G80" s="15">
        <v>45387</v>
      </c>
      <c r="H80" s="4" t="s">
        <v>357</v>
      </c>
      <c r="I80" s="4" t="s">
        <v>24</v>
      </c>
      <c r="J80" s="4" t="s">
        <v>372</v>
      </c>
      <c r="K80" s="4" t="s">
        <v>559</v>
      </c>
      <c r="N80" s="25">
        <f t="shared" si="8"/>
        <v>1922.7</v>
      </c>
      <c r="O80" s="25">
        <f t="shared" si="5"/>
        <v>4</v>
      </c>
      <c r="P80" s="25" t="str" cm="1">
        <f t="array" ref="P80">_xlfn.IFS(O80&lt;4,"Speedy",O80&lt;7,"Standard",O80&gt;=7,"Slow")</f>
        <v>Standard</v>
      </c>
      <c r="Q80" s="25" t="str">
        <f t="shared" si="9"/>
        <v>April</v>
      </c>
      <c r="R80" s="25" t="str">
        <f t="shared" si="6"/>
        <v>2024</v>
      </c>
      <c r="S80" s="25" t="str">
        <f t="shared" si="7"/>
        <v>April 2024</v>
      </c>
      <c r="T80" s="25" t="str">
        <f>_xlfn.XLOOKUP(B80,REF_Products!$A$2:$A$41,REF_Products!$C$2:$C$41)</f>
        <v>Stationery</v>
      </c>
    </row>
    <row r="81" spans="1:20">
      <c r="A81" s="4" t="s">
        <v>643</v>
      </c>
      <c r="B81" s="4" t="s">
        <v>35</v>
      </c>
      <c r="C81" s="4" t="s">
        <v>591</v>
      </c>
      <c r="D81" s="4">
        <v>8</v>
      </c>
      <c r="E81" s="13">
        <v>158.37</v>
      </c>
      <c r="F81" s="15">
        <v>45264</v>
      </c>
      <c r="G81" s="15">
        <v>45266</v>
      </c>
      <c r="H81" s="4" t="s">
        <v>555</v>
      </c>
      <c r="I81" s="4" t="s">
        <v>46</v>
      </c>
      <c r="J81" s="4" t="s">
        <v>644</v>
      </c>
      <c r="K81" s="4" t="s">
        <v>18</v>
      </c>
      <c r="N81" s="25">
        <f t="shared" si="8"/>
        <v>1266.96</v>
      </c>
      <c r="O81" s="25">
        <f t="shared" si="5"/>
        <v>2</v>
      </c>
      <c r="P81" s="25" t="str" cm="1">
        <f t="array" ref="P81">_xlfn.IFS(O81&lt;4,"Speedy",O81&lt;7,"Standard",O81&gt;=7,"Slow")</f>
        <v>Speedy</v>
      </c>
      <c r="Q81" s="25" t="str">
        <f t="shared" si="9"/>
        <v>December</v>
      </c>
      <c r="R81" s="25" t="str">
        <f t="shared" si="6"/>
        <v>2023</v>
      </c>
      <c r="S81" s="25" t="str">
        <f t="shared" si="7"/>
        <v>December 2023</v>
      </c>
      <c r="T81" s="25" t="str">
        <f>_xlfn.XLOOKUP(B81,REF_Products!$A$2:$A$41,REF_Products!$C$2:$C$41)</f>
        <v>Stationery</v>
      </c>
    </row>
    <row r="82" spans="1:20">
      <c r="A82" s="4" t="s">
        <v>645</v>
      </c>
      <c r="B82" s="4" t="s">
        <v>89</v>
      </c>
      <c r="C82" s="4" t="s">
        <v>578</v>
      </c>
      <c r="D82" s="4">
        <v>1</v>
      </c>
      <c r="E82" s="13">
        <v>228.47</v>
      </c>
      <c r="F82" s="15">
        <v>45097</v>
      </c>
      <c r="G82" s="15">
        <v>45111</v>
      </c>
      <c r="H82" s="4" t="s">
        <v>562</v>
      </c>
      <c r="I82" s="4" t="s">
        <v>46</v>
      </c>
      <c r="J82" s="4" t="s">
        <v>646</v>
      </c>
      <c r="K82" s="4" t="s">
        <v>18</v>
      </c>
      <c r="N82" s="25">
        <f t="shared" si="8"/>
        <v>228.47</v>
      </c>
      <c r="O82" s="25">
        <f t="shared" si="5"/>
        <v>14</v>
      </c>
      <c r="P82" s="25" t="str" cm="1">
        <f t="array" ref="P82">_xlfn.IFS(O82&lt;4,"Speedy",O82&lt;7,"Standard",O82&gt;=7,"Slow")</f>
        <v>Slow</v>
      </c>
      <c r="Q82" s="25" t="str">
        <f t="shared" si="9"/>
        <v>June</v>
      </c>
      <c r="R82" s="25" t="str">
        <f t="shared" si="6"/>
        <v>2023</v>
      </c>
      <c r="S82" s="25" t="str">
        <f t="shared" si="7"/>
        <v>June 2023</v>
      </c>
      <c r="T82" s="25" t="str">
        <f>_xlfn.XLOOKUP(B82,REF_Products!$A$2:$A$41,REF_Products!$C$2:$C$41)</f>
        <v>Electronics</v>
      </c>
    </row>
    <row r="83" spans="1:20">
      <c r="A83" s="4" t="s">
        <v>647</v>
      </c>
      <c r="B83" s="4" t="s">
        <v>43</v>
      </c>
      <c r="C83" s="4" t="s">
        <v>597</v>
      </c>
      <c r="D83" s="4">
        <v>6</v>
      </c>
      <c r="E83" s="13">
        <v>67.8</v>
      </c>
      <c r="F83" s="15">
        <v>44971</v>
      </c>
      <c r="G83" s="15">
        <v>44983</v>
      </c>
      <c r="H83" s="4" t="s">
        <v>553</v>
      </c>
      <c r="I83" s="4" t="s">
        <v>16</v>
      </c>
      <c r="J83" s="4" t="s">
        <v>648</v>
      </c>
      <c r="K83" s="4" t="s">
        <v>559</v>
      </c>
      <c r="N83" s="25">
        <f t="shared" si="8"/>
        <v>406.79999999999995</v>
      </c>
      <c r="O83" s="25">
        <f t="shared" si="5"/>
        <v>12</v>
      </c>
      <c r="P83" s="25" t="str" cm="1">
        <f t="array" ref="P83">_xlfn.IFS(O83&lt;4,"Speedy",O83&lt;7,"Standard",O83&gt;=7,"Slow")</f>
        <v>Slow</v>
      </c>
      <c r="Q83" s="25" t="str">
        <f t="shared" si="9"/>
        <v>February</v>
      </c>
      <c r="R83" s="25" t="str">
        <f t="shared" si="6"/>
        <v>2023</v>
      </c>
      <c r="S83" s="25" t="str">
        <f t="shared" si="7"/>
        <v>February 2023</v>
      </c>
      <c r="T83" s="25" t="str">
        <f>_xlfn.XLOOKUP(B83,REF_Products!$A$2:$A$41,REF_Products!$C$2:$C$41)</f>
        <v>Clothing</v>
      </c>
    </row>
    <row r="84" spans="1:20">
      <c r="A84" s="4" t="s">
        <v>649</v>
      </c>
      <c r="B84" s="4" t="s">
        <v>101</v>
      </c>
      <c r="C84" s="4" t="s">
        <v>584</v>
      </c>
      <c r="D84" s="4">
        <v>6</v>
      </c>
      <c r="E84" s="13">
        <v>293.27</v>
      </c>
      <c r="F84" s="15">
        <v>45018</v>
      </c>
      <c r="G84" s="15">
        <v>45029</v>
      </c>
      <c r="H84" s="4" t="s">
        <v>510</v>
      </c>
      <c r="I84" s="4" t="s">
        <v>31</v>
      </c>
      <c r="J84" s="4" t="s">
        <v>650</v>
      </c>
      <c r="K84" s="4" t="s">
        <v>33</v>
      </c>
      <c r="N84" s="25">
        <f t="shared" si="8"/>
        <v>1759.62</v>
      </c>
      <c r="O84" s="25">
        <f t="shared" si="5"/>
        <v>11</v>
      </c>
      <c r="P84" s="25" t="str" cm="1">
        <f t="array" ref="P84">_xlfn.IFS(O84&lt;4,"Speedy",O84&lt;7,"Standard",O84&gt;=7,"Slow")</f>
        <v>Slow</v>
      </c>
      <c r="Q84" s="25" t="str">
        <f t="shared" si="9"/>
        <v>April</v>
      </c>
      <c r="R84" s="25" t="str">
        <f t="shared" si="6"/>
        <v>2023</v>
      </c>
      <c r="S84" s="25" t="str">
        <f t="shared" si="7"/>
        <v>April 2023</v>
      </c>
      <c r="T84" s="25" t="str">
        <f>_xlfn.XLOOKUP(B84,REF_Products!$A$2:$A$41,REF_Products!$C$2:$C$41)</f>
        <v>Health</v>
      </c>
    </row>
    <row r="85" spans="1:20">
      <c r="A85" s="4" t="s">
        <v>651</v>
      </c>
      <c r="B85" s="4" t="s">
        <v>68</v>
      </c>
      <c r="C85" s="4" t="s">
        <v>606</v>
      </c>
      <c r="D85" s="4">
        <v>10</v>
      </c>
      <c r="E85" s="13">
        <v>140.79</v>
      </c>
      <c r="F85" s="15">
        <v>45422</v>
      </c>
      <c r="G85" s="15">
        <v>45433</v>
      </c>
      <c r="H85" s="4" t="s">
        <v>553</v>
      </c>
      <c r="I85" s="4" t="s">
        <v>111</v>
      </c>
      <c r="J85" s="4" t="s">
        <v>652</v>
      </c>
      <c r="K85" s="4" t="s">
        <v>26</v>
      </c>
      <c r="N85" s="25">
        <f t="shared" si="8"/>
        <v>1407.8999999999999</v>
      </c>
      <c r="O85" s="25">
        <f t="shared" si="5"/>
        <v>11</v>
      </c>
      <c r="P85" s="25" t="str" cm="1">
        <f t="array" ref="P85">_xlfn.IFS(O85&lt;4,"Speedy",O85&lt;7,"Standard",O85&gt;=7,"Slow")</f>
        <v>Slow</v>
      </c>
      <c r="Q85" s="25" t="str">
        <f t="shared" si="9"/>
        <v>May</v>
      </c>
      <c r="R85" s="25" t="str">
        <f t="shared" si="6"/>
        <v>2024</v>
      </c>
      <c r="S85" s="25" t="str">
        <f t="shared" si="7"/>
        <v>May 2024</v>
      </c>
      <c r="T85" s="25" t="str">
        <f>_xlfn.XLOOKUP(B85,REF_Products!$A$2:$A$41,REF_Products!$C$2:$C$41)</f>
        <v>Kitchen</v>
      </c>
    </row>
    <row r="86" spans="1:20">
      <c r="A86" s="4" t="s">
        <v>653</v>
      </c>
      <c r="B86" s="4" t="s">
        <v>234</v>
      </c>
      <c r="C86" s="4" t="s">
        <v>235</v>
      </c>
      <c r="D86" s="4">
        <v>4</v>
      </c>
      <c r="E86" s="13">
        <v>280.99</v>
      </c>
      <c r="F86" s="15">
        <v>45347</v>
      </c>
      <c r="G86" s="15">
        <v>45348</v>
      </c>
      <c r="H86" s="4" t="s">
        <v>553</v>
      </c>
      <c r="I86" s="4" t="s">
        <v>31</v>
      </c>
      <c r="J86" s="4" t="s">
        <v>654</v>
      </c>
      <c r="K86" s="4" t="s">
        <v>559</v>
      </c>
      <c r="N86" s="25">
        <f t="shared" si="8"/>
        <v>1123.96</v>
      </c>
      <c r="O86" s="25">
        <f t="shared" si="5"/>
        <v>1</v>
      </c>
      <c r="P86" s="25" t="str" cm="1">
        <f t="array" ref="P86">_xlfn.IFS(O86&lt;4,"Speedy",O86&lt;7,"Standard",O86&gt;=7,"Slow")</f>
        <v>Speedy</v>
      </c>
      <c r="Q86" s="25" t="str">
        <f t="shared" si="9"/>
        <v>February</v>
      </c>
      <c r="R86" s="25" t="str">
        <f t="shared" si="6"/>
        <v>2024</v>
      </c>
      <c r="S86" s="25" t="str">
        <f t="shared" si="7"/>
        <v>February 2024</v>
      </c>
      <c r="T86" s="25" t="str">
        <f>_xlfn.XLOOKUP(B86,REF_Products!$A$2:$A$41,REF_Products!$C$2:$C$41)</f>
        <v>Electronics</v>
      </c>
    </row>
    <row r="87" spans="1:20">
      <c r="A87" s="4" t="s">
        <v>655</v>
      </c>
      <c r="B87" s="4" t="s">
        <v>197</v>
      </c>
      <c r="C87" s="4" t="s">
        <v>656</v>
      </c>
      <c r="D87" s="4">
        <v>10</v>
      </c>
      <c r="E87" s="13">
        <v>172.98</v>
      </c>
      <c r="F87" s="15">
        <v>45281</v>
      </c>
      <c r="G87" s="15">
        <v>45283</v>
      </c>
      <c r="H87" s="4" t="s">
        <v>555</v>
      </c>
      <c r="I87" s="4" t="s">
        <v>46</v>
      </c>
      <c r="J87" s="4" t="s">
        <v>519</v>
      </c>
      <c r="K87" s="4" t="s">
        <v>26</v>
      </c>
      <c r="N87" s="25">
        <f t="shared" si="8"/>
        <v>1729.8</v>
      </c>
      <c r="O87" s="25">
        <f t="shared" si="5"/>
        <v>2</v>
      </c>
      <c r="P87" s="25" t="str" cm="1">
        <f t="array" ref="P87">_xlfn.IFS(O87&lt;4,"Speedy",O87&lt;7,"Standard",O87&gt;=7,"Slow")</f>
        <v>Speedy</v>
      </c>
      <c r="Q87" s="25" t="str">
        <f t="shared" si="9"/>
        <v>December</v>
      </c>
      <c r="R87" s="25" t="str">
        <f t="shared" si="6"/>
        <v>2023</v>
      </c>
      <c r="S87" s="25" t="str">
        <f t="shared" si="7"/>
        <v>December 2023</v>
      </c>
      <c r="T87" s="25" t="str">
        <f>_xlfn.XLOOKUP(B87,REF_Products!$A$2:$A$41,REF_Products!$C$2:$C$41)</f>
        <v>Furniture</v>
      </c>
    </row>
    <row r="88" spans="1:20">
      <c r="A88" s="4" t="s">
        <v>657</v>
      </c>
      <c r="B88" s="4" t="s">
        <v>185</v>
      </c>
      <c r="C88" s="4" t="s">
        <v>186</v>
      </c>
      <c r="D88" s="4">
        <v>9</v>
      </c>
      <c r="E88" s="13">
        <v>253.94</v>
      </c>
      <c r="F88" s="15">
        <v>45241</v>
      </c>
      <c r="G88" s="15">
        <v>45242</v>
      </c>
      <c r="H88" s="4" t="s">
        <v>357</v>
      </c>
      <c r="I88" s="4" t="s">
        <v>31</v>
      </c>
      <c r="J88" s="4" t="s">
        <v>189</v>
      </c>
      <c r="K88" s="4" t="s">
        <v>559</v>
      </c>
      <c r="N88" s="25">
        <f t="shared" si="8"/>
        <v>2285.46</v>
      </c>
      <c r="O88" s="25">
        <f t="shared" si="5"/>
        <v>1</v>
      </c>
      <c r="P88" s="25" t="str" cm="1">
        <f t="array" ref="P88">_xlfn.IFS(O88&lt;4,"Speedy",O88&lt;7,"Standard",O88&gt;=7,"Slow")</f>
        <v>Speedy</v>
      </c>
      <c r="Q88" s="25" t="str">
        <f t="shared" si="9"/>
        <v>November</v>
      </c>
      <c r="R88" s="25" t="str">
        <f t="shared" si="6"/>
        <v>2023</v>
      </c>
      <c r="S88" s="25" t="str">
        <f t="shared" si="7"/>
        <v>November 2023</v>
      </c>
      <c r="T88" s="25" t="str">
        <f>_xlfn.XLOOKUP(B88,REF_Products!$A$2:$A$41,REF_Products!$C$2:$C$41)</f>
        <v>Stationery</v>
      </c>
    </row>
    <row r="89" spans="1:20">
      <c r="A89" s="4" t="s">
        <v>658</v>
      </c>
      <c r="B89" s="4" t="s">
        <v>201</v>
      </c>
      <c r="C89" s="4" t="s">
        <v>593</v>
      </c>
      <c r="D89" s="4">
        <v>9</v>
      </c>
      <c r="E89" s="13">
        <v>80.88</v>
      </c>
      <c r="F89" s="15">
        <v>45348</v>
      </c>
      <c r="G89" s="15">
        <v>45357</v>
      </c>
      <c r="H89" s="4" t="s">
        <v>192</v>
      </c>
      <c r="I89" s="4" t="s">
        <v>24</v>
      </c>
      <c r="J89" s="4" t="s">
        <v>204</v>
      </c>
      <c r="K89" s="4" t="s">
        <v>33</v>
      </c>
      <c r="N89" s="25">
        <f t="shared" si="8"/>
        <v>727.92</v>
      </c>
      <c r="O89" s="25">
        <f t="shared" si="5"/>
        <v>9</v>
      </c>
      <c r="P89" s="25" t="str" cm="1">
        <f t="array" ref="P89">_xlfn.IFS(O89&lt;4,"Speedy",O89&lt;7,"Standard",O89&gt;=7,"Slow")</f>
        <v>Slow</v>
      </c>
      <c r="Q89" s="25" t="str">
        <f t="shared" si="9"/>
        <v>February</v>
      </c>
      <c r="R89" s="25" t="str">
        <f t="shared" si="6"/>
        <v>2024</v>
      </c>
      <c r="S89" s="25" t="str">
        <f t="shared" si="7"/>
        <v>February 2024</v>
      </c>
      <c r="T89" s="25" t="str">
        <f>_xlfn.XLOOKUP(B89,REF_Products!$A$2:$A$41,REF_Products!$C$2:$C$41)</f>
        <v>Books</v>
      </c>
    </row>
    <row r="90" spans="1:20">
      <c r="A90" s="4" t="s">
        <v>659</v>
      </c>
      <c r="B90" s="4" t="s">
        <v>68</v>
      </c>
      <c r="C90" s="4" t="s">
        <v>606</v>
      </c>
      <c r="D90" s="4">
        <v>5</v>
      </c>
      <c r="E90" s="13">
        <v>34.86</v>
      </c>
      <c r="F90" s="15">
        <v>45347</v>
      </c>
      <c r="G90" s="15">
        <v>45354</v>
      </c>
      <c r="H90" s="4" t="s">
        <v>71</v>
      </c>
      <c r="I90" s="4" t="s">
        <v>46</v>
      </c>
      <c r="J90" s="4" t="s">
        <v>660</v>
      </c>
      <c r="K90" s="4" t="s">
        <v>559</v>
      </c>
      <c r="N90" s="25">
        <f t="shared" si="8"/>
        <v>174.3</v>
      </c>
      <c r="O90" s="25">
        <f t="shared" si="5"/>
        <v>7</v>
      </c>
      <c r="P90" s="25" t="str" cm="1">
        <f t="array" ref="P90">_xlfn.IFS(O90&lt;4,"Speedy",O90&lt;7,"Standard",O90&gt;=7,"Slow")</f>
        <v>Slow</v>
      </c>
      <c r="Q90" s="25" t="str">
        <f t="shared" si="9"/>
        <v>February</v>
      </c>
      <c r="R90" s="25" t="str">
        <f t="shared" si="6"/>
        <v>2024</v>
      </c>
      <c r="S90" s="25" t="str">
        <f t="shared" si="7"/>
        <v>February 2024</v>
      </c>
      <c r="T90" s="25" t="str">
        <f>_xlfn.XLOOKUP(B90,REF_Products!$A$2:$A$41,REF_Products!$C$2:$C$41)</f>
        <v>Kitchen</v>
      </c>
    </row>
    <row r="91" spans="1:20">
      <c r="A91" s="4" t="s">
        <v>661</v>
      </c>
      <c r="B91" s="4" t="s">
        <v>119</v>
      </c>
      <c r="C91" s="4" t="s">
        <v>568</v>
      </c>
      <c r="D91" s="4">
        <v>4</v>
      </c>
      <c r="E91" s="13">
        <v>42.12</v>
      </c>
      <c r="F91" s="15">
        <v>45234</v>
      </c>
      <c r="G91" s="15">
        <v>45239</v>
      </c>
      <c r="H91" s="4" t="s">
        <v>510</v>
      </c>
      <c r="I91" s="4" t="s">
        <v>46</v>
      </c>
      <c r="J91" s="4" t="s">
        <v>123</v>
      </c>
      <c r="K91" s="4" t="s">
        <v>26</v>
      </c>
      <c r="N91" s="25">
        <f t="shared" si="8"/>
        <v>168.48</v>
      </c>
      <c r="O91" s="25">
        <f t="shared" si="5"/>
        <v>5</v>
      </c>
      <c r="P91" s="25" t="str" cm="1">
        <f t="array" ref="P91">_xlfn.IFS(O91&lt;4,"Speedy",O91&lt;7,"Standard",O91&gt;=7,"Slow")</f>
        <v>Standard</v>
      </c>
      <c r="Q91" s="25" t="str">
        <f t="shared" si="9"/>
        <v>November</v>
      </c>
      <c r="R91" s="25" t="str">
        <f t="shared" si="6"/>
        <v>2023</v>
      </c>
      <c r="S91" s="25" t="str">
        <f t="shared" si="7"/>
        <v>November 2023</v>
      </c>
      <c r="T91" s="25" t="str">
        <f>_xlfn.XLOOKUP(B91,REF_Products!$A$2:$A$41,REF_Products!$C$2:$C$41)</f>
        <v>Electronics</v>
      </c>
    </row>
    <row r="92" spans="1:20">
      <c r="A92" s="4" t="s">
        <v>662</v>
      </c>
      <c r="B92" s="4" t="s">
        <v>265</v>
      </c>
      <c r="C92" s="4" t="s">
        <v>266</v>
      </c>
      <c r="D92" s="4">
        <v>1</v>
      </c>
      <c r="E92" s="13">
        <v>94.77</v>
      </c>
      <c r="F92" s="15">
        <v>45400</v>
      </c>
      <c r="G92" s="15">
        <v>45414</v>
      </c>
      <c r="H92" s="4" t="s">
        <v>562</v>
      </c>
      <c r="I92" s="4" t="s">
        <v>16</v>
      </c>
      <c r="J92" s="4" t="s">
        <v>663</v>
      </c>
      <c r="K92" s="4" t="s">
        <v>559</v>
      </c>
      <c r="N92" s="25">
        <f t="shared" si="8"/>
        <v>94.77</v>
      </c>
      <c r="O92" s="25">
        <f t="shared" si="5"/>
        <v>14</v>
      </c>
      <c r="P92" s="25" t="str" cm="1">
        <f t="array" ref="P92">_xlfn.IFS(O92&lt;4,"Speedy",O92&lt;7,"Standard",O92&gt;=7,"Slow")</f>
        <v>Slow</v>
      </c>
      <c r="Q92" s="25" t="str">
        <f t="shared" si="9"/>
        <v>April</v>
      </c>
      <c r="R92" s="25" t="str">
        <f t="shared" si="6"/>
        <v>2024</v>
      </c>
      <c r="S92" s="25" t="str">
        <f t="shared" si="7"/>
        <v>April 2024</v>
      </c>
      <c r="T92" s="25" t="str">
        <f>_xlfn.XLOOKUP(B92,REF_Products!$A$2:$A$41,REF_Products!$C$2:$C$41)</f>
        <v>Books</v>
      </c>
    </row>
    <row r="93" spans="1:20">
      <c r="A93" s="4" t="s">
        <v>664</v>
      </c>
      <c r="B93" s="4" t="s">
        <v>354</v>
      </c>
      <c r="C93" s="4" t="s">
        <v>355</v>
      </c>
      <c r="D93" s="4">
        <v>2</v>
      </c>
      <c r="E93" s="13">
        <v>156.29</v>
      </c>
      <c r="F93" s="15">
        <v>45305</v>
      </c>
      <c r="G93" s="15">
        <v>45316</v>
      </c>
      <c r="H93" s="4" t="s">
        <v>357</v>
      </c>
      <c r="I93" s="4" t="s">
        <v>46</v>
      </c>
      <c r="J93" s="4" t="s">
        <v>665</v>
      </c>
      <c r="K93" s="4" t="s">
        <v>559</v>
      </c>
      <c r="N93" s="25">
        <f t="shared" si="8"/>
        <v>312.58</v>
      </c>
      <c r="O93" s="25">
        <f t="shared" si="5"/>
        <v>11</v>
      </c>
      <c r="P93" s="25" t="str" cm="1">
        <f t="array" ref="P93">_xlfn.IFS(O93&lt;4,"Speedy",O93&lt;7,"Standard",O93&gt;=7,"Slow")</f>
        <v>Slow</v>
      </c>
      <c r="Q93" s="25" t="str">
        <f t="shared" si="9"/>
        <v>January</v>
      </c>
      <c r="R93" s="25" t="str">
        <f t="shared" si="6"/>
        <v>2024</v>
      </c>
      <c r="S93" s="25" t="str">
        <f t="shared" si="7"/>
        <v>January 2024</v>
      </c>
      <c r="T93" s="25" t="str">
        <f>_xlfn.XLOOKUP(B93,REF_Products!$A$2:$A$41,REF_Products!$C$2:$C$41)</f>
        <v>Sportswear</v>
      </c>
    </row>
    <row r="94" spans="1:20">
      <c r="A94" s="4" t="s">
        <v>666</v>
      </c>
      <c r="B94" s="4" t="s">
        <v>62</v>
      </c>
      <c r="C94" s="4" t="s">
        <v>576</v>
      </c>
      <c r="D94" s="4">
        <v>1</v>
      </c>
      <c r="E94" s="13">
        <v>126.77</v>
      </c>
      <c r="F94" s="15">
        <v>45229</v>
      </c>
      <c r="G94" s="15">
        <v>45242</v>
      </c>
      <c r="H94" s="4" t="s">
        <v>510</v>
      </c>
      <c r="I94" s="4" t="s">
        <v>31</v>
      </c>
      <c r="J94" s="4" t="s">
        <v>667</v>
      </c>
      <c r="K94" s="4" t="s">
        <v>559</v>
      </c>
      <c r="N94" s="25">
        <f t="shared" si="8"/>
        <v>126.77</v>
      </c>
      <c r="O94" s="25">
        <f t="shared" si="5"/>
        <v>13</v>
      </c>
      <c r="P94" s="25" t="str" cm="1">
        <f t="array" ref="P94">_xlfn.IFS(O94&lt;4,"Speedy",O94&lt;7,"Standard",O94&gt;=7,"Slow")</f>
        <v>Slow</v>
      </c>
      <c r="Q94" s="25" t="str">
        <f t="shared" si="9"/>
        <v>October</v>
      </c>
      <c r="R94" s="25" t="str">
        <f t="shared" si="6"/>
        <v>2023</v>
      </c>
      <c r="S94" s="25" t="str">
        <f t="shared" si="7"/>
        <v>October 2023</v>
      </c>
      <c r="T94" s="25" t="str">
        <f>_xlfn.XLOOKUP(B94,REF_Products!$A$2:$A$41,REF_Products!$C$2:$C$41)</f>
        <v>Electronics</v>
      </c>
    </row>
    <row r="95" spans="1:20">
      <c r="A95" s="4" t="s">
        <v>668</v>
      </c>
      <c r="B95" s="4" t="s">
        <v>79</v>
      </c>
      <c r="C95" s="4" t="s">
        <v>80</v>
      </c>
      <c r="D95" s="4">
        <v>10</v>
      </c>
      <c r="E95" s="13">
        <v>112.49</v>
      </c>
      <c r="F95" s="15">
        <v>45258</v>
      </c>
      <c r="G95" s="15">
        <v>45270</v>
      </c>
      <c r="H95" s="4" t="s">
        <v>557</v>
      </c>
      <c r="I95" s="4" t="s">
        <v>31</v>
      </c>
      <c r="J95" s="4" t="s">
        <v>326</v>
      </c>
      <c r="K95" s="4" t="s">
        <v>48</v>
      </c>
      <c r="N95" s="25">
        <f t="shared" si="8"/>
        <v>1124.8999999999999</v>
      </c>
      <c r="O95" s="25">
        <f t="shared" si="5"/>
        <v>12</v>
      </c>
      <c r="P95" s="25" t="str" cm="1">
        <f t="array" ref="P95">_xlfn.IFS(O95&lt;4,"Speedy",O95&lt;7,"Standard",O95&gt;=7,"Slow")</f>
        <v>Slow</v>
      </c>
      <c r="Q95" s="25" t="str">
        <f t="shared" si="9"/>
        <v>November</v>
      </c>
      <c r="R95" s="25" t="str">
        <f t="shared" si="6"/>
        <v>2023</v>
      </c>
      <c r="S95" s="25" t="str">
        <f t="shared" si="7"/>
        <v>November 2023</v>
      </c>
      <c r="T95" s="25" t="str">
        <f>_xlfn.XLOOKUP(B95,REF_Products!$A$2:$A$41,REF_Products!$C$2:$C$41)</f>
        <v>Clothing</v>
      </c>
    </row>
    <row r="96" spans="1:20">
      <c r="A96" s="4" t="s">
        <v>669</v>
      </c>
      <c r="B96" s="4" t="s">
        <v>35</v>
      </c>
      <c r="C96" s="4" t="s">
        <v>591</v>
      </c>
      <c r="D96" s="4">
        <v>5</v>
      </c>
      <c r="E96" s="13">
        <v>279.04000000000002</v>
      </c>
      <c r="F96" s="15">
        <v>45171</v>
      </c>
      <c r="G96" s="15">
        <v>45175</v>
      </c>
      <c r="H96" s="4" t="s">
        <v>71</v>
      </c>
      <c r="I96" s="4" t="s">
        <v>16</v>
      </c>
      <c r="J96" s="4" t="s">
        <v>443</v>
      </c>
      <c r="K96" s="4" t="s">
        <v>48</v>
      </c>
      <c r="N96" s="25">
        <f t="shared" si="8"/>
        <v>1395.2</v>
      </c>
      <c r="O96" s="25">
        <f t="shared" si="5"/>
        <v>4</v>
      </c>
      <c r="P96" s="25" t="str" cm="1">
        <f t="array" ref="P96">_xlfn.IFS(O96&lt;4,"Speedy",O96&lt;7,"Standard",O96&gt;=7,"Slow")</f>
        <v>Standard</v>
      </c>
      <c r="Q96" s="25" t="str">
        <f t="shared" si="9"/>
        <v>September</v>
      </c>
      <c r="R96" s="25" t="str">
        <f t="shared" si="6"/>
        <v>2023</v>
      </c>
      <c r="S96" s="25" t="str">
        <f t="shared" si="7"/>
        <v>September 2023</v>
      </c>
      <c r="T96" s="25" t="str">
        <f>_xlfn.XLOOKUP(B96,REF_Products!$A$2:$A$41,REF_Products!$C$2:$C$41)</f>
        <v>Stationery</v>
      </c>
    </row>
    <row r="97" spans="1:20">
      <c r="A97" s="4" t="s">
        <v>670</v>
      </c>
      <c r="B97" s="4" t="s">
        <v>20</v>
      </c>
      <c r="C97" s="4" t="s">
        <v>599</v>
      </c>
      <c r="D97" s="4">
        <v>3</v>
      </c>
      <c r="E97" s="13">
        <v>270.54000000000002</v>
      </c>
      <c r="F97" s="15">
        <v>45114</v>
      </c>
      <c r="G97" s="15">
        <v>45117</v>
      </c>
      <c r="H97" s="4" t="s">
        <v>510</v>
      </c>
      <c r="I97" s="4" t="s">
        <v>46</v>
      </c>
      <c r="J97" s="4" t="s">
        <v>671</v>
      </c>
      <c r="K97" s="4" t="s">
        <v>559</v>
      </c>
      <c r="N97" s="25">
        <f t="shared" si="8"/>
        <v>811.62000000000012</v>
      </c>
      <c r="O97" s="25">
        <f t="shared" si="5"/>
        <v>3</v>
      </c>
      <c r="P97" s="25" t="str" cm="1">
        <f t="array" ref="P97">_xlfn.IFS(O97&lt;4,"Speedy",O97&lt;7,"Standard",O97&gt;=7,"Slow")</f>
        <v>Speedy</v>
      </c>
      <c r="Q97" s="25" t="str">
        <f t="shared" si="9"/>
        <v>July</v>
      </c>
      <c r="R97" s="25" t="str">
        <f t="shared" si="6"/>
        <v>2023</v>
      </c>
      <c r="S97" s="25" t="str">
        <f t="shared" si="7"/>
        <v>July 2023</v>
      </c>
      <c r="T97" s="25" t="str">
        <f>_xlfn.XLOOKUP(B97,REF_Products!$A$2:$A$41,REF_Products!$C$2:$C$41)</f>
        <v>Health</v>
      </c>
    </row>
    <row r="98" spans="1:20">
      <c r="A98" s="4" t="s">
        <v>672</v>
      </c>
      <c r="B98" s="4" t="s">
        <v>12</v>
      </c>
      <c r="C98" s="4" t="s">
        <v>609</v>
      </c>
      <c r="D98" s="4">
        <v>2</v>
      </c>
      <c r="E98" s="13">
        <v>31.65</v>
      </c>
      <c r="F98" s="15">
        <v>45230</v>
      </c>
      <c r="G98" s="15">
        <v>45233</v>
      </c>
      <c r="H98" s="4" t="s">
        <v>562</v>
      </c>
      <c r="I98" s="4" t="s">
        <v>16</v>
      </c>
      <c r="J98" s="4" t="s">
        <v>673</v>
      </c>
      <c r="K98" s="4" t="s">
        <v>18</v>
      </c>
      <c r="N98" s="25">
        <f t="shared" si="8"/>
        <v>63.3</v>
      </c>
      <c r="O98" s="25">
        <f t="shared" si="5"/>
        <v>3</v>
      </c>
      <c r="P98" s="25" t="str" cm="1">
        <f t="array" ref="P98">_xlfn.IFS(O98&lt;4,"Speedy",O98&lt;7,"Standard",O98&gt;=7,"Slow")</f>
        <v>Speedy</v>
      </c>
      <c r="Q98" s="25" t="str">
        <f t="shared" si="9"/>
        <v>October</v>
      </c>
      <c r="R98" s="25" t="str">
        <f t="shared" si="6"/>
        <v>2023</v>
      </c>
      <c r="S98" s="25" t="str">
        <f t="shared" si="7"/>
        <v>October 2023</v>
      </c>
      <c r="T98" s="25" t="str">
        <f>_xlfn.XLOOKUP(B98,REF_Products!$A$2:$A$41,REF_Products!$C$2:$C$41)</f>
        <v>Kitchen</v>
      </c>
    </row>
    <row r="99" spans="1:20">
      <c r="A99" s="4" t="s">
        <v>674</v>
      </c>
      <c r="B99" s="4" t="s">
        <v>234</v>
      </c>
      <c r="C99" s="4" t="s">
        <v>235</v>
      </c>
      <c r="D99" s="4">
        <v>7</v>
      </c>
      <c r="E99" s="13">
        <v>56.36</v>
      </c>
      <c r="F99" s="15">
        <v>45451</v>
      </c>
      <c r="G99" s="15">
        <v>45457</v>
      </c>
      <c r="H99" s="4" t="s">
        <v>357</v>
      </c>
      <c r="I99" s="4" t="s">
        <v>111</v>
      </c>
      <c r="J99" s="4" t="s">
        <v>290</v>
      </c>
      <c r="K99" s="4" t="s">
        <v>559</v>
      </c>
      <c r="N99" s="25">
        <f t="shared" si="8"/>
        <v>394.52</v>
      </c>
      <c r="O99" s="25">
        <f t="shared" si="5"/>
        <v>6</v>
      </c>
      <c r="P99" s="25" t="str" cm="1">
        <f t="array" ref="P99">_xlfn.IFS(O99&lt;4,"Speedy",O99&lt;7,"Standard",O99&gt;=7,"Slow")</f>
        <v>Standard</v>
      </c>
      <c r="Q99" s="25" t="str">
        <f t="shared" si="9"/>
        <v>June</v>
      </c>
      <c r="R99" s="25" t="str">
        <f t="shared" si="6"/>
        <v>2024</v>
      </c>
      <c r="S99" s="25" t="str">
        <f t="shared" si="7"/>
        <v>June 2024</v>
      </c>
      <c r="T99" s="25" t="str">
        <f>_xlfn.XLOOKUP(B99,REF_Products!$A$2:$A$41,REF_Products!$C$2:$C$41)</f>
        <v>Electronics</v>
      </c>
    </row>
    <row r="100" spans="1:20">
      <c r="A100" s="4" t="s">
        <v>675</v>
      </c>
      <c r="B100" s="4" t="s">
        <v>292</v>
      </c>
      <c r="C100" s="4" t="s">
        <v>293</v>
      </c>
      <c r="D100" s="4">
        <v>9</v>
      </c>
      <c r="E100" s="13">
        <v>224.76</v>
      </c>
      <c r="F100" s="15">
        <v>45062</v>
      </c>
      <c r="G100" s="15">
        <v>45073</v>
      </c>
      <c r="H100" s="4" t="s">
        <v>357</v>
      </c>
      <c r="I100" s="4" t="s">
        <v>31</v>
      </c>
      <c r="J100" s="4" t="s">
        <v>676</v>
      </c>
      <c r="K100" s="4" t="s">
        <v>48</v>
      </c>
      <c r="N100" s="25">
        <f t="shared" si="8"/>
        <v>2022.84</v>
      </c>
      <c r="O100" s="25">
        <f t="shared" si="5"/>
        <v>11</v>
      </c>
      <c r="P100" s="25" t="str" cm="1">
        <f t="array" ref="P100">_xlfn.IFS(O100&lt;4,"Speedy",O100&lt;7,"Standard",O100&gt;=7,"Slow")</f>
        <v>Slow</v>
      </c>
      <c r="Q100" s="25" t="str">
        <f t="shared" si="9"/>
        <v>May</v>
      </c>
      <c r="R100" s="25" t="str">
        <f t="shared" si="6"/>
        <v>2023</v>
      </c>
      <c r="S100" s="25" t="str">
        <f t="shared" si="7"/>
        <v>May 2023</v>
      </c>
      <c r="T100" s="25" t="str">
        <f>_xlfn.XLOOKUP(B100,REF_Products!$A$2:$A$41,REF_Products!$C$2:$C$41)</f>
        <v>Stationery</v>
      </c>
    </row>
    <row r="101" spans="1:20">
      <c r="A101" s="4" t="s">
        <v>677</v>
      </c>
      <c r="B101" s="4" t="s">
        <v>240</v>
      </c>
      <c r="C101" s="4" t="s">
        <v>603</v>
      </c>
      <c r="D101" s="4">
        <v>10</v>
      </c>
      <c r="E101" s="13">
        <v>291.62</v>
      </c>
      <c r="F101" s="15">
        <v>45378</v>
      </c>
      <c r="G101" s="15">
        <v>45387</v>
      </c>
      <c r="H101" s="4" t="s">
        <v>357</v>
      </c>
      <c r="I101" s="4" t="s">
        <v>31</v>
      </c>
      <c r="J101" s="4" t="s">
        <v>302</v>
      </c>
      <c r="K101" s="4" t="s">
        <v>559</v>
      </c>
      <c r="N101" s="25">
        <f t="shared" si="8"/>
        <v>2916.2</v>
      </c>
      <c r="O101" s="25">
        <f t="shared" si="5"/>
        <v>9</v>
      </c>
      <c r="P101" s="25" t="str" cm="1">
        <f t="array" ref="P101">_xlfn.IFS(O101&lt;4,"Speedy",O101&lt;7,"Standard",O101&gt;=7,"Slow")</f>
        <v>Slow</v>
      </c>
      <c r="Q101" s="25" t="str">
        <f t="shared" si="9"/>
        <v>March</v>
      </c>
      <c r="R101" s="25" t="str">
        <f t="shared" si="6"/>
        <v>2024</v>
      </c>
      <c r="S101" s="25" t="str">
        <f t="shared" si="7"/>
        <v>March 2024</v>
      </c>
      <c r="T101" s="25" t="str">
        <f>_xlfn.XLOOKUP(B101,REF_Products!$A$2:$A$41,REF_Products!$C$2:$C$41)</f>
        <v>Sportswear</v>
      </c>
    </row>
    <row r="102" spans="1:20">
      <c r="A102" s="4" t="s">
        <v>678</v>
      </c>
      <c r="B102" s="4" t="s">
        <v>251</v>
      </c>
      <c r="C102" s="4" t="s">
        <v>560</v>
      </c>
      <c r="D102" s="4">
        <v>1</v>
      </c>
      <c r="E102" s="13">
        <v>105.06</v>
      </c>
      <c r="F102" s="15">
        <v>45456</v>
      </c>
      <c r="G102" s="15">
        <v>45460</v>
      </c>
      <c r="H102" s="4" t="s">
        <v>555</v>
      </c>
      <c r="I102" s="4" t="s">
        <v>24</v>
      </c>
      <c r="J102" s="4" t="s">
        <v>559</v>
      </c>
      <c r="K102" s="4" t="s">
        <v>26</v>
      </c>
      <c r="N102" s="25">
        <f t="shared" si="8"/>
        <v>105.06</v>
      </c>
      <c r="O102" s="25">
        <f t="shared" si="5"/>
        <v>4</v>
      </c>
      <c r="P102" s="25" t="str" cm="1">
        <f t="array" ref="P102">_xlfn.IFS(O102&lt;4,"Speedy",O102&lt;7,"Standard",O102&gt;=7,"Slow")</f>
        <v>Standard</v>
      </c>
      <c r="Q102" s="25" t="str">
        <f t="shared" si="9"/>
        <v>June</v>
      </c>
      <c r="R102" s="25" t="str">
        <f t="shared" si="6"/>
        <v>2024</v>
      </c>
      <c r="S102" s="25" t="str">
        <f t="shared" si="7"/>
        <v>June 2024</v>
      </c>
      <c r="T102" s="25" t="str">
        <f>_xlfn.XLOOKUP(B102,REF_Products!$A$2:$A$41,REF_Products!$C$2:$C$41)</f>
        <v>Health</v>
      </c>
    </row>
    <row r="103" spans="1:20">
      <c r="A103" s="4" t="s">
        <v>679</v>
      </c>
      <c r="B103" s="4" t="s">
        <v>50</v>
      </c>
      <c r="C103" s="4" t="s">
        <v>556</v>
      </c>
      <c r="D103" s="4">
        <v>8</v>
      </c>
      <c r="E103" s="13">
        <v>37.85</v>
      </c>
      <c r="F103" s="15">
        <v>45233</v>
      </c>
      <c r="G103" s="15">
        <v>45240</v>
      </c>
      <c r="H103" s="4" t="s">
        <v>555</v>
      </c>
      <c r="I103" s="4" t="s">
        <v>46</v>
      </c>
      <c r="J103" s="4" t="s">
        <v>383</v>
      </c>
      <c r="K103" s="4" t="s">
        <v>559</v>
      </c>
      <c r="N103" s="25">
        <f t="shared" si="8"/>
        <v>302.8</v>
      </c>
      <c r="O103" s="25">
        <f t="shared" si="5"/>
        <v>7</v>
      </c>
      <c r="P103" s="25" t="str" cm="1">
        <f t="array" ref="P103">_xlfn.IFS(O103&lt;4,"Speedy",O103&lt;7,"Standard",O103&gt;=7,"Slow")</f>
        <v>Slow</v>
      </c>
      <c r="Q103" s="25" t="str">
        <f t="shared" si="9"/>
        <v>November</v>
      </c>
      <c r="R103" s="25" t="str">
        <f t="shared" si="6"/>
        <v>2023</v>
      </c>
      <c r="S103" s="25" t="str">
        <f t="shared" si="7"/>
        <v>November 2023</v>
      </c>
      <c r="T103" s="25" t="str">
        <f>_xlfn.XLOOKUP(B103,REF_Products!$A$2:$A$41,REF_Products!$C$2:$C$41)</f>
        <v>Sportswear</v>
      </c>
    </row>
    <row r="104" spans="1:20">
      <c r="A104" s="4" t="s">
        <v>680</v>
      </c>
      <c r="B104" s="4" t="s">
        <v>89</v>
      </c>
      <c r="C104" s="4" t="s">
        <v>578</v>
      </c>
      <c r="D104" s="4">
        <v>8</v>
      </c>
      <c r="E104" s="13">
        <v>119.12</v>
      </c>
      <c r="F104" s="15">
        <v>45315</v>
      </c>
      <c r="G104" s="15">
        <v>45325</v>
      </c>
      <c r="H104" s="4" t="s">
        <v>192</v>
      </c>
      <c r="I104" s="4" t="s">
        <v>31</v>
      </c>
      <c r="J104" s="4" t="s">
        <v>681</v>
      </c>
      <c r="K104" s="4" t="s">
        <v>559</v>
      </c>
      <c r="N104" s="25">
        <f t="shared" si="8"/>
        <v>952.96</v>
      </c>
      <c r="O104" s="25">
        <f t="shared" si="5"/>
        <v>10</v>
      </c>
      <c r="P104" s="25" t="str" cm="1">
        <f t="array" ref="P104">_xlfn.IFS(O104&lt;4,"Speedy",O104&lt;7,"Standard",O104&gt;=7,"Slow")</f>
        <v>Slow</v>
      </c>
      <c r="Q104" s="25" t="str">
        <f t="shared" si="9"/>
        <v>January</v>
      </c>
      <c r="R104" s="25" t="str">
        <f t="shared" si="6"/>
        <v>2024</v>
      </c>
      <c r="S104" s="25" t="str">
        <f t="shared" si="7"/>
        <v>January 2024</v>
      </c>
      <c r="T104" s="25" t="str">
        <f>_xlfn.XLOOKUP(B104,REF_Products!$A$2:$A$41,REF_Products!$C$2:$C$41)</f>
        <v>Electronics</v>
      </c>
    </row>
    <row r="105" spans="1:20">
      <c r="A105" s="4" t="s">
        <v>682</v>
      </c>
      <c r="B105" s="4" t="s">
        <v>215</v>
      </c>
      <c r="C105" s="4" t="s">
        <v>216</v>
      </c>
      <c r="D105" s="4">
        <v>3</v>
      </c>
      <c r="E105" s="13">
        <v>266.77</v>
      </c>
      <c r="F105" s="15">
        <v>45395</v>
      </c>
      <c r="G105" s="15">
        <v>45409</v>
      </c>
      <c r="H105" s="4" t="s">
        <v>555</v>
      </c>
      <c r="I105" s="4" t="s">
        <v>111</v>
      </c>
      <c r="J105" s="4" t="s">
        <v>683</v>
      </c>
      <c r="K105" s="4" t="s">
        <v>26</v>
      </c>
      <c r="N105" s="25">
        <f t="shared" si="8"/>
        <v>800.31</v>
      </c>
      <c r="O105" s="25">
        <f t="shared" si="5"/>
        <v>14</v>
      </c>
      <c r="P105" s="25" t="str" cm="1">
        <f t="array" ref="P105">_xlfn.IFS(O105&lt;4,"Speedy",O105&lt;7,"Standard",O105&gt;=7,"Slow")</f>
        <v>Slow</v>
      </c>
      <c r="Q105" s="25" t="str">
        <f t="shared" si="9"/>
        <v>April</v>
      </c>
      <c r="R105" s="25" t="str">
        <f t="shared" si="6"/>
        <v>2024</v>
      </c>
      <c r="S105" s="25" t="str">
        <f t="shared" si="7"/>
        <v>April 2024</v>
      </c>
      <c r="T105" s="25" t="str">
        <f>_xlfn.XLOOKUP(B105,REF_Products!$A$2:$A$41,REF_Products!$C$2:$C$41)</f>
        <v>Kitchen</v>
      </c>
    </row>
    <row r="106" spans="1:20">
      <c r="A106" s="4" t="s">
        <v>684</v>
      </c>
      <c r="B106" s="4" t="s">
        <v>43</v>
      </c>
      <c r="C106" s="4" t="s">
        <v>597</v>
      </c>
      <c r="D106" s="4">
        <v>3</v>
      </c>
      <c r="E106" s="13">
        <v>23.09</v>
      </c>
      <c r="F106" s="15">
        <v>45408</v>
      </c>
      <c r="G106" s="15">
        <v>45412</v>
      </c>
      <c r="H106" s="4" t="s">
        <v>553</v>
      </c>
      <c r="I106" s="4" t="s">
        <v>31</v>
      </c>
      <c r="J106" s="4" t="s">
        <v>536</v>
      </c>
      <c r="K106" s="4" t="s">
        <v>559</v>
      </c>
      <c r="N106" s="25">
        <f t="shared" si="8"/>
        <v>69.27</v>
      </c>
      <c r="O106" s="25">
        <f t="shared" si="5"/>
        <v>4</v>
      </c>
      <c r="P106" s="25" t="str" cm="1">
        <f t="array" ref="P106">_xlfn.IFS(O106&lt;4,"Speedy",O106&lt;7,"Standard",O106&gt;=7,"Slow")</f>
        <v>Standard</v>
      </c>
      <c r="Q106" s="25" t="str">
        <f t="shared" si="9"/>
        <v>April</v>
      </c>
      <c r="R106" s="25" t="str">
        <f t="shared" si="6"/>
        <v>2024</v>
      </c>
      <c r="S106" s="25" t="str">
        <f t="shared" si="7"/>
        <v>April 2024</v>
      </c>
      <c r="T106" s="25" t="str">
        <f>_xlfn.XLOOKUP(B106,REF_Products!$A$2:$A$41,REF_Products!$C$2:$C$41)</f>
        <v>Clothing</v>
      </c>
    </row>
    <row r="107" spans="1:20">
      <c r="A107" s="4" t="s">
        <v>685</v>
      </c>
      <c r="B107" s="4" t="s">
        <v>143</v>
      </c>
      <c r="C107" s="4" t="s">
        <v>577</v>
      </c>
      <c r="D107" s="4">
        <v>7</v>
      </c>
      <c r="E107" s="13">
        <v>10.46</v>
      </c>
      <c r="F107" s="15">
        <v>44970</v>
      </c>
      <c r="G107" s="15">
        <v>44978</v>
      </c>
      <c r="H107" s="4" t="s">
        <v>192</v>
      </c>
      <c r="I107" s="4" t="s">
        <v>111</v>
      </c>
      <c r="J107" s="4" t="s">
        <v>238</v>
      </c>
      <c r="K107" s="4" t="s">
        <v>33</v>
      </c>
      <c r="N107" s="25">
        <f t="shared" si="8"/>
        <v>73.22</v>
      </c>
      <c r="O107" s="25">
        <f t="shared" si="5"/>
        <v>8</v>
      </c>
      <c r="P107" s="25" t="str" cm="1">
        <f t="array" ref="P107">_xlfn.IFS(O107&lt;4,"Speedy",O107&lt;7,"Standard",O107&gt;=7,"Slow")</f>
        <v>Slow</v>
      </c>
      <c r="Q107" s="25" t="str">
        <f t="shared" si="9"/>
        <v>February</v>
      </c>
      <c r="R107" s="25" t="str">
        <f t="shared" si="6"/>
        <v>2023</v>
      </c>
      <c r="S107" s="25" t="str">
        <f t="shared" si="7"/>
        <v>February 2023</v>
      </c>
      <c r="T107" s="25" t="str">
        <f>_xlfn.XLOOKUP(B107,REF_Products!$A$2:$A$41,REF_Products!$C$2:$C$41)</f>
        <v>Kitchen</v>
      </c>
    </row>
    <row r="108" spans="1:20">
      <c r="A108" s="4" t="s">
        <v>686</v>
      </c>
      <c r="B108" s="4" t="s">
        <v>292</v>
      </c>
      <c r="C108" s="4" t="s">
        <v>293</v>
      </c>
      <c r="D108" s="4">
        <v>1</v>
      </c>
      <c r="E108" s="13">
        <v>156.01</v>
      </c>
      <c r="F108" s="15">
        <v>45168</v>
      </c>
      <c r="G108" s="15">
        <v>45176</v>
      </c>
      <c r="H108" s="4" t="s">
        <v>192</v>
      </c>
      <c r="I108" s="4" t="s">
        <v>31</v>
      </c>
      <c r="J108" s="4" t="s">
        <v>687</v>
      </c>
      <c r="K108" s="4" t="s">
        <v>559</v>
      </c>
      <c r="N108" s="25">
        <f t="shared" si="8"/>
        <v>156.01</v>
      </c>
      <c r="O108" s="25">
        <f t="shared" si="5"/>
        <v>8</v>
      </c>
      <c r="P108" s="25" t="str" cm="1">
        <f t="array" ref="P108">_xlfn.IFS(O108&lt;4,"Speedy",O108&lt;7,"Standard",O108&gt;=7,"Slow")</f>
        <v>Slow</v>
      </c>
      <c r="Q108" s="25" t="str">
        <f t="shared" si="9"/>
        <v>August</v>
      </c>
      <c r="R108" s="25" t="str">
        <f t="shared" si="6"/>
        <v>2023</v>
      </c>
      <c r="S108" s="25" t="str">
        <f t="shared" si="7"/>
        <v>August 2023</v>
      </c>
      <c r="T108" s="25" t="str">
        <f>_xlfn.XLOOKUP(B108,REF_Products!$A$2:$A$41,REF_Products!$C$2:$C$41)</f>
        <v>Stationery</v>
      </c>
    </row>
    <row r="109" spans="1:20">
      <c r="A109" s="4" t="s">
        <v>688</v>
      </c>
      <c r="B109" s="4" t="s">
        <v>56</v>
      </c>
      <c r="C109" s="4" t="s">
        <v>575</v>
      </c>
      <c r="D109" s="4">
        <v>9</v>
      </c>
      <c r="E109" s="13">
        <v>236.1</v>
      </c>
      <c r="F109" s="15">
        <v>45137</v>
      </c>
      <c r="G109" s="15">
        <v>45149</v>
      </c>
      <c r="H109" s="4" t="s">
        <v>71</v>
      </c>
      <c r="I109" s="4" t="s">
        <v>31</v>
      </c>
      <c r="J109" s="4" t="s">
        <v>60</v>
      </c>
      <c r="K109" s="4" t="s">
        <v>18</v>
      </c>
      <c r="N109" s="25">
        <f t="shared" si="8"/>
        <v>2124.9</v>
      </c>
      <c r="O109" s="25">
        <f t="shared" si="5"/>
        <v>12</v>
      </c>
      <c r="P109" s="25" t="str" cm="1">
        <f t="array" ref="P109">_xlfn.IFS(O109&lt;4,"Speedy",O109&lt;7,"Standard",O109&gt;=7,"Slow")</f>
        <v>Slow</v>
      </c>
      <c r="Q109" s="25" t="str">
        <f t="shared" si="9"/>
        <v>July</v>
      </c>
      <c r="R109" s="25" t="str">
        <f t="shared" si="6"/>
        <v>2023</v>
      </c>
      <c r="S109" s="25" t="str">
        <f t="shared" si="7"/>
        <v>July 2023</v>
      </c>
      <c r="T109" s="25" t="str">
        <f>_xlfn.XLOOKUP(B109,REF_Products!$A$2:$A$41,REF_Products!$C$2:$C$41)</f>
        <v>Stationery</v>
      </c>
    </row>
    <row r="110" spans="1:20">
      <c r="A110" s="4" t="s">
        <v>689</v>
      </c>
      <c r="B110" s="4" t="s">
        <v>177</v>
      </c>
      <c r="C110" s="4" t="s">
        <v>178</v>
      </c>
      <c r="D110" s="4">
        <v>5</v>
      </c>
      <c r="E110" s="13">
        <v>250.69</v>
      </c>
      <c r="F110" s="15">
        <v>45263</v>
      </c>
      <c r="G110" s="15">
        <v>45275</v>
      </c>
      <c r="H110" s="4" t="s">
        <v>192</v>
      </c>
      <c r="I110" s="4" t="s">
        <v>111</v>
      </c>
      <c r="J110" s="4" t="s">
        <v>500</v>
      </c>
      <c r="K110" s="4" t="s">
        <v>559</v>
      </c>
      <c r="N110" s="25">
        <f t="shared" si="8"/>
        <v>1253.45</v>
      </c>
      <c r="O110" s="25">
        <f t="shared" si="5"/>
        <v>12</v>
      </c>
      <c r="P110" s="25" t="str" cm="1">
        <f t="array" ref="P110">_xlfn.IFS(O110&lt;4,"Speedy",O110&lt;7,"Standard",O110&gt;=7,"Slow")</f>
        <v>Slow</v>
      </c>
      <c r="Q110" s="25" t="str">
        <f t="shared" si="9"/>
        <v>December</v>
      </c>
      <c r="R110" s="25" t="str">
        <f t="shared" si="6"/>
        <v>2023</v>
      </c>
      <c r="S110" s="25" t="str">
        <f t="shared" si="7"/>
        <v>December 2023</v>
      </c>
      <c r="T110" s="25" t="str">
        <f>_xlfn.XLOOKUP(B110,REF_Products!$A$2:$A$41,REF_Products!$C$2:$C$41)</f>
        <v>Books</v>
      </c>
    </row>
    <row r="111" spans="1:20">
      <c r="A111" s="4" t="s">
        <v>690</v>
      </c>
      <c r="B111" s="4" t="s">
        <v>197</v>
      </c>
      <c r="C111" s="4" t="s">
        <v>656</v>
      </c>
      <c r="D111" s="4">
        <v>1</v>
      </c>
      <c r="E111" s="13">
        <v>112.2</v>
      </c>
      <c r="F111" s="15">
        <v>45169</v>
      </c>
      <c r="G111" s="15">
        <v>45171</v>
      </c>
      <c r="H111" s="4" t="s">
        <v>192</v>
      </c>
      <c r="I111" s="4" t="s">
        <v>31</v>
      </c>
      <c r="J111" s="4" t="s">
        <v>691</v>
      </c>
      <c r="K111" s="4" t="s">
        <v>18</v>
      </c>
      <c r="N111" s="25">
        <f t="shared" si="8"/>
        <v>112.2</v>
      </c>
      <c r="O111" s="25">
        <f t="shared" si="5"/>
        <v>2</v>
      </c>
      <c r="P111" s="25" t="str" cm="1">
        <f t="array" ref="P111">_xlfn.IFS(O111&lt;4,"Speedy",O111&lt;7,"Standard",O111&gt;=7,"Slow")</f>
        <v>Speedy</v>
      </c>
      <c r="Q111" s="25" t="str">
        <f t="shared" si="9"/>
        <v>August</v>
      </c>
      <c r="R111" s="25" t="str">
        <f t="shared" si="6"/>
        <v>2023</v>
      </c>
      <c r="S111" s="25" t="str">
        <f t="shared" si="7"/>
        <v>August 2023</v>
      </c>
      <c r="T111" s="25" t="str">
        <f>_xlfn.XLOOKUP(B111,REF_Products!$A$2:$A$41,REF_Products!$C$2:$C$41)</f>
        <v>Furniture</v>
      </c>
    </row>
    <row r="112" spans="1:20">
      <c r="A112" s="4" t="s">
        <v>692</v>
      </c>
      <c r="B112" s="4" t="s">
        <v>12</v>
      </c>
      <c r="C112" s="4" t="s">
        <v>609</v>
      </c>
      <c r="D112" s="4">
        <v>10</v>
      </c>
      <c r="E112" s="13">
        <v>252.38</v>
      </c>
      <c r="F112" s="15">
        <v>45406</v>
      </c>
      <c r="G112" s="15">
        <v>45420</v>
      </c>
      <c r="H112" s="4" t="s">
        <v>562</v>
      </c>
      <c r="I112" s="4" t="s">
        <v>46</v>
      </c>
      <c r="J112" s="4" t="s">
        <v>517</v>
      </c>
      <c r="K112" s="4" t="s">
        <v>48</v>
      </c>
      <c r="N112" s="25">
        <f t="shared" si="8"/>
        <v>2523.8000000000002</v>
      </c>
      <c r="O112" s="25">
        <f t="shared" si="5"/>
        <v>14</v>
      </c>
      <c r="P112" s="25" t="str" cm="1">
        <f t="array" ref="P112">_xlfn.IFS(O112&lt;4,"Speedy",O112&lt;7,"Standard",O112&gt;=7,"Slow")</f>
        <v>Slow</v>
      </c>
      <c r="Q112" s="25" t="str">
        <f t="shared" si="9"/>
        <v>April</v>
      </c>
      <c r="R112" s="25" t="str">
        <f t="shared" si="6"/>
        <v>2024</v>
      </c>
      <c r="S112" s="25" t="str">
        <f t="shared" si="7"/>
        <v>April 2024</v>
      </c>
      <c r="T112" s="25" t="str">
        <f>_xlfn.XLOOKUP(B112,REF_Products!$A$2:$A$41,REF_Products!$C$2:$C$41)</f>
        <v>Kitchen</v>
      </c>
    </row>
    <row r="113" spans="1:20">
      <c r="A113" s="4" t="s">
        <v>693</v>
      </c>
      <c r="B113" s="4" t="s">
        <v>43</v>
      </c>
      <c r="C113" s="4" t="s">
        <v>597</v>
      </c>
      <c r="D113" s="4">
        <v>3</v>
      </c>
      <c r="E113" s="13">
        <v>65.150000000000006</v>
      </c>
      <c r="F113" s="15">
        <v>45232</v>
      </c>
      <c r="G113" s="15">
        <v>45234</v>
      </c>
      <c r="H113" s="4" t="s">
        <v>357</v>
      </c>
      <c r="I113" s="4" t="s">
        <v>31</v>
      </c>
      <c r="J113" s="4" t="s">
        <v>333</v>
      </c>
      <c r="K113" s="4" t="s">
        <v>559</v>
      </c>
      <c r="N113" s="25">
        <f t="shared" si="8"/>
        <v>195.45000000000002</v>
      </c>
      <c r="O113" s="25">
        <f t="shared" si="5"/>
        <v>2</v>
      </c>
      <c r="P113" s="25" t="str" cm="1">
        <f t="array" ref="P113">_xlfn.IFS(O113&lt;4,"Speedy",O113&lt;7,"Standard",O113&gt;=7,"Slow")</f>
        <v>Speedy</v>
      </c>
      <c r="Q113" s="25" t="str">
        <f t="shared" si="9"/>
        <v>November</v>
      </c>
      <c r="R113" s="25" t="str">
        <f t="shared" si="6"/>
        <v>2023</v>
      </c>
      <c r="S113" s="25" t="str">
        <f t="shared" si="7"/>
        <v>November 2023</v>
      </c>
      <c r="T113" s="25" t="str">
        <f>_xlfn.XLOOKUP(B113,REF_Products!$A$2:$A$41,REF_Products!$C$2:$C$41)</f>
        <v>Clothing</v>
      </c>
    </row>
    <row r="114" spans="1:20">
      <c r="A114" s="4" t="s">
        <v>694</v>
      </c>
      <c r="B114" s="4" t="s">
        <v>393</v>
      </c>
      <c r="C114" s="4" t="s">
        <v>565</v>
      </c>
      <c r="D114" s="4">
        <v>10</v>
      </c>
      <c r="E114" s="13">
        <v>247.79</v>
      </c>
      <c r="F114" s="15">
        <v>45026</v>
      </c>
      <c r="G114" s="15">
        <v>45034</v>
      </c>
      <c r="H114" s="4" t="s">
        <v>553</v>
      </c>
      <c r="I114" s="4" t="s">
        <v>46</v>
      </c>
      <c r="J114" s="4" t="s">
        <v>396</v>
      </c>
      <c r="K114" s="4" t="s">
        <v>559</v>
      </c>
      <c r="N114" s="25">
        <f t="shared" si="8"/>
        <v>2477.9</v>
      </c>
      <c r="O114" s="25">
        <f t="shared" si="5"/>
        <v>8</v>
      </c>
      <c r="P114" s="25" t="str" cm="1">
        <f t="array" ref="P114">_xlfn.IFS(O114&lt;4,"Speedy",O114&lt;7,"Standard",O114&gt;=7,"Slow")</f>
        <v>Slow</v>
      </c>
      <c r="Q114" s="25" t="str">
        <f t="shared" si="9"/>
        <v>April</v>
      </c>
      <c r="R114" s="25" t="str">
        <f t="shared" si="6"/>
        <v>2023</v>
      </c>
      <c r="S114" s="25" t="str">
        <f t="shared" si="7"/>
        <v>April 2023</v>
      </c>
      <c r="T114" s="25" t="str">
        <f>_xlfn.XLOOKUP(B114,REF_Products!$A$2:$A$41,REF_Products!$C$2:$C$41)</f>
        <v>Health</v>
      </c>
    </row>
    <row r="115" spans="1:20">
      <c r="A115" s="4" t="s">
        <v>695</v>
      </c>
      <c r="B115" s="4" t="s">
        <v>210</v>
      </c>
      <c r="C115" s="4" t="s">
        <v>563</v>
      </c>
      <c r="D115" s="4">
        <v>5</v>
      </c>
      <c r="E115" s="13">
        <v>109.17</v>
      </c>
      <c r="F115" s="15">
        <v>45133</v>
      </c>
      <c r="G115" s="15">
        <v>45144</v>
      </c>
      <c r="H115" s="4" t="s">
        <v>510</v>
      </c>
      <c r="I115" s="4" t="s">
        <v>31</v>
      </c>
      <c r="J115" s="4" t="s">
        <v>696</v>
      </c>
      <c r="K115" s="4" t="s">
        <v>559</v>
      </c>
      <c r="N115" s="25">
        <f t="shared" si="8"/>
        <v>545.85</v>
      </c>
      <c r="O115" s="25">
        <f t="shared" si="5"/>
        <v>11</v>
      </c>
      <c r="P115" s="25" t="str" cm="1">
        <f t="array" ref="P115">_xlfn.IFS(O115&lt;4,"Speedy",O115&lt;7,"Standard",O115&gt;=7,"Slow")</f>
        <v>Slow</v>
      </c>
      <c r="Q115" s="25" t="str">
        <f t="shared" si="9"/>
        <v>July</v>
      </c>
      <c r="R115" s="25" t="str">
        <f t="shared" si="6"/>
        <v>2023</v>
      </c>
      <c r="S115" s="25" t="str">
        <f t="shared" si="7"/>
        <v>July 2023</v>
      </c>
      <c r="T115" s="25" t="str">
        <f>_xlfn.XLOOKUP(B115,REF_Products!$A$2:$A$41,REF_Products!$C$2:$C$41)</f>
        <v>Books</v>
      </c>
    </row>
    <row r="116" spans="1:20">
      <c r="A116" s="4" t="s">
        <v>697</v>
      </c>
      <c r="B116" s="4" t="s">
        <v>251</v>
      </c>
      <c r="C116" s="4" t="s">
        <v>560</v>
      </c>
      <c r="D116" s="4">
        <v>3</v>
      </c>
      <c r="E116" s="13">
        <v>90.9</v>
      </c>
      <c r="F116" s="15">
        <v>45302</v>
      </c>
      <c r="G116" s="15">
        <v>45307</v>
      </c>
      <c r="H116" s="4" t="s">
        <v>557</v>
      </c>
      <c r="I116" s="4" t="s">
        <v>16</v>
      </c>
      <c r="J116" s="4" t="s">
        <v>698</v>
      </c>
      <c r="K116" s="4" t="s">
        <v>48</v>
      </c>
      <c r="N116" s="25">
        <f t="shared" si="8"/>
        <v>272.70000000000005</v>
      </c>
      <c r="O116" s="25">
        <f t="shared" si="5"/>
        <v>5</v>
      </c>
      <c r="P116" s="25" t="str" cm="1">
        <f t="array" ref="P116">_xlfn.IFS(O116&lt;4,"Speedy",O116&lt;7,"Standard",O116&gt;=7,"Slow")</f>
        <v>Standard</v>
      </c>
      <c r="Q116" s="25" t="str">
        <f t="shared" si="9"/>
        <v>January</v>
      </c>
      <c r="R116" s="25" t="str">
        <f t="shared" si="6"/>
        <v>2024</v>
      </c>
      <c r="S116" s="25" t="str">
        <f t="shared" si="7"/>
        <v>January 2024</v>
      </c>
      <c r="T116" s="25" t="str">
        <f>_xlfn.XLOOKUP(B116,REF_Products!$A$2:$A$41,REF_Products!$C$2:$C$41)</f>
        <v>Health</v>
      </c>
    </row>
    <row r="117" spans="1:20">
      <c r="A117" s="4" t="s">
        <v>699</v>
      </c>
      <c r="B117" s="4" t="s">
        <v>20</v>
      </c>
      <c r="C117" s="4" t="s">
        <v>599</v>
      </c>
      <c r="D117" s="4">
        <v>2</v>
      </c>
      <c r="E117" s="13">
        <v>50.3</v>
      </c>
      <c r="F117" s="15">
        <v>45072</v>
      </c>
      <c r="G117" s="15">
        <v>45081</v>
      </c>
      <c r="H117" s="4" t="s">
        <v>553</v>
      </c>
      <c r="I117" s="4" t="s">
        <v>46</v>
      </c>
      <c r="J117" s="4" t="s">
        <v>700</v>
      </c>
      <c r="K117" s="4" t="s">
        <v>559</v>
      </c>
      <c r="N117" s="25">
        <f t="shared" si="8"/>
        <v>100.6</v>
      </c>
      <c r="O117" s="25">
        <f t="shared" si="5"/>
        <v>9</v>
      </c>
      <c r="P117" s="25" t="str" cm="1">
        <f t="array" ref="P117">_xlfn.IFS(O117&lt;4,"Speedy",O117&lt;7,"Standard",O117&gt;=7,"Slow")</f>
        <v>Slow</v>
      </c>
      <c r="Q117" s="25" t="str">
        <f t="shared" si="9"/>
        <v>May</v>
      </c>
      <c r="R117" s="25" t="str">
        <f t="shared" si="6"/>
        <v>2023</v>
      </c>
      <c r="S117" s="25" t="str">
        <f t="shared" si="7"/>
        <v>May 2023</v>
      </c>
      <c r="T117" s="25" t="str">
        <f>_xlfn.XLOOKUP(B117,REF_Products!$A$2:$A$41,REF_Products!$C$2:$C$41)</f>
        <v>Health</v>
      </c>
    </row>
    <row r="118" spans="1:20">
      <c r="A118" s="4" t="s">
        <v>701</v>
      </c>
      <c r="B118" s="4" t="s">
        <v>185</v>
      </c>
      <c r="C118" s="4" t="s">
        <v>186</v>
      </c>
      <c r="D118" s="4">
        <v>6</v>
      </c>
      <c r="E118" s="13">
        <v>171.33</v>
      </c>
      <c r="F118" s="15">
        <v>44976</v>
      </c>
      <c r="G118" s="15">
        <v>44983</v>
      </c>
      <c r="H118" s="4" t="s">
        <v>562</v>
      </c>
      <c r="I118" s="4" t="s">
        <v>31</v>
      </c>
      <c r="J118" s="4" t="s">
        <v>702</v>
      </c>
      <c r="K118" s="4" t="s">
        <v>33</v>
      </c>
      <c r="N118" s="25">
        <f t="shared" si="8"/>
        <v>1027.98</v>
      </c>
      <c r="O118" s="25">
        <f t="shared" si="5"/>
        <v>7</v>
      </c>
      <c r="P118" s="25" t="str" cm="1">
        <f t="array" ref="P118">_xlfn.IFS(O118&lt;4,"Speedy",O118&lt;7,"Standard",O118&gt;=7,"Slow")</f>
        <v>Slow</v>
      </c>
      <c r="Q118" s="25" t="str">
        <f t="shared" si="9"/>
        <v>February</v>
      </c>
      <c r="R118" s="25" t="str">
        <f t="shared" si="6"/>
        <v>2023</v>
      </c>
      <c r="S118" s="25" t="str">
        <f t="shared" si="7"/>
        <v>February 2023</v>
      </c>
      <c r="T118" s="25" t="str">
        <f>_xlfn.XLOOKUP(B118,REF_Products!$A$2:$A$41,REF_Products!$C$2:$C$41)</f>
        <v>Stationery</v>
      </c>
    </row>
    <row r="119" spans="1:20">
      <c r="A119" s="4" t="s">
        <v>703</v>
      </c>
      <c r="B119" s="4" t="s">
        <v>156</v>
      </c>
      <c r="C119" s="4" t="s">
        <v>595</v>
      </c>
      <c r="D119" s="4">
        <v>9</v>
      </c>
      <c r="E119" s="13">
        <v>44.31</v>
      </c>
      <c r="F119" s="15">
        <v>45355</v>
      </c>
      <c r="G119" s="15">
        <v>45363</v>
      </c>
      <c r="H119" s="4" t="s">
        <v>192</v>
      </c>
      <c r="I119" s="4" t="s">
        <v>111</v>
      </c>
      <c r="J119" s="4" t="s">
        <v>574</v>
      </c>
      <c r="K119" s="4" t="s">
        <v>559</v>
      </c>
      <c r="N119" s="25">
        <f t="shared" si="8"/>
        <v>398.79</v>
      </c>
      <c r="O119" s="25">
        <f t="shared" si="5"/>
        <v>8</v>
      </c>
      <c r="P119" s="25" t="str" cm="1">
        <f t="array" ref="P119">_xlfn.IFS(O119&lt;4,"Speedy",O119&lt;7,"Standard",O119&gt;=7,"Slow")</f>
        <v>Slow</v>
      </c>
      <c r="Q119" s="25" t="str">
        <f t="shared" si="9"/>
        <v>March</v>
      </c>
      <c r="R119" s="25" t="str">
        <f t="shared" si="6"/>
        <v>2024</v>
      </c>
      <c r="S119" s="25" t="str">
        <f t="shared" si="7"/>
        <v>March 2024</v>
      </c>
      <c r="T119" s="25" t="str">
        <f>_xlfn.XLOOKUP(B119,REF_Products!$A$2:$A$41,REF_Products!$C$2:$C$41)</f>
        <v>Books</v>
      </c>
    </row>
    <row r="120" spans="1:20">
      <c r="A120" s="4" t="s">
        <v>704</v>
      </c>
      <c r="B120" s="4" t="s">
        <v>12</v>
      </c>
      <c r="C120" s="4" t="s">
        <v>609</v>
      </c>
      <c r="D120" s="4">
        <v>4</v>
      </c>
      <c r="E120" s="13">
        <v>133.65</v>
      </c>
      <c r="F120" s="15">
        <v>45040</v>
      </c>
      <c r="G120" s="15">
        <v>45054</v>
      </c>
      <c r="H120" s="4" t="s">
        <v>557</v>
      </c>
      <c r="I120" s="4" t="s">
        <v>46</v>
      </c>
      <c r="J120" s="4" t="s">
        <v>705</v>
      </c>
      <c r="K120" s="4" t="s">
        <v>33</v>
      </c>
      <c r="N120" s="25">
        <f t="shared" si="8"/>
        <v>534.6</v>
      </c>
      <c r="O120" s="25">
        <f t="shared" si="5"/>
        <v>14</v>
      </c>
      <c r="P120" s="25" t="str" cm="1">
        <f t="array" ref="P120">_xlfn.IFS(O120&lt;4,"Speedy",O120&lt;7,"Standard",O120&gt;=7,"Slow")</f>
        <v>Slow</v>
      </c>
      <c r="Q120" s="25" t="str">
        <f t="shared" si="9"/>
        <v>April</v>
      </c>
      <c r="R120" s="25" t="str">
        <f t="shared" si="6"/>
        <v>2023</v>
      </c>
      <c r="S120" s="25" t="str">
        <f t="shared" si="7"/>
        <v>April 2023</v>
      </c>
      <c r="T120" s="25" t="str">
        <f>_xlfn.XLOOKUP(B120,REF_Products!$A$2:$A$41,REF_Products!$C$2:$C$41)</f>
        <v>Kitchen</v>
      </c>
    </row>
    <row r="121" spans="1:20">
      <c r="A121" s="4" t="s">
        <v>706</v>
      </c>
      <c r="B121" s="4" t="s">
        <v>95</v>
      </c>
      <c r="C121" s="4" t="s">
        <v>581</v>
      </c>
      <c r="D121" s="4">
        <v>3</v>
      </c>
      <c r="E121" s="13">
        <v>150.47</v>
      </c>
      <c r="F121" s="15">
        <v>44939</v>
      </c>
      <c r="G121" s="15">
        <v>44946</v>
      </c>
      <c r="H121" s="4" t="s">
        <v>553</v>
      </c>
      <c r="I121" s="4" t="s">
        <v>16</v>
      </c>
      <c r="J121" s="4" t="s">
        <v>707</v>
      </c>
      <c r="K121" s="4" t="s">
        <v>559</v>
      </c>
      <c r="N121" s="25">
        <f t="shared" si="8"/>
        <v>451.40999999999997</v>
      </c>
      <c r="O121" s="25">
        <f t="shared" si="5"/>
        <v>7</v>
      </c>
      <c r="P121" s="25" t="str" cm="1">
        <f t="array" ref="P121">_xlfn.IFS(O121&lt;4,"Speedy",O121&lt;7,"Standard",O121&gt;=7,"Slow")</f>
        <v>Slow</v>
      </c>
      <c r="Q121" s="25" t="str">
        <f t="shared" si="9"/>
        <v>January</v>
      </c>
      <c r="R121" s="25" t="str">
        <f t="shared" si="6"/>
        <v>2023</v>
      </c>
      <c r="S121" s="25" t="str">
        <f t="shared" si="7"/>
        <v>January 2023</v>
      </c>
      <c r="T121" s="25" t="str">
        <f>_xlfn.XLOOKUP(B121,REF_Products!$A$2:$A$41,REF_Products!$C$2:$C$41)</f>
        <v>Furniture</v>
      </c>
    </row>
    <row r="122" spans="1:20">
      <c r="A122" s="4" t="s">
        <v>708</v>
      </c>
      <c r="B122" s="4" t="s">
        <v>156</v>
      </c>
      <c r="C122" s="4" t="s">
        <v>595</v>
      </c>
      <c r="D122" s="4">
        <v>6</v>
      </c>
      <c r="E122" s="13">
        <v>298.83999999999997</v>
      </c>
      <c r="F122" s="15">
        <v>44947</v>
      </c>
      <c r="G122" s="15">
        <v>44957</v>
      </c>
      <c r="H122" s="4" t="s">
        <v>562</v>
      </c>
      <c r="I122" s="4" t="s">
        <v>31</v>
      </c>
      <c r="J122" s="4" t="s">
        <v>160</v>
      </c>
      <c r="K122" s="4" t="s">
        <v>559</v>
      </c>
      <c r="N122" s="25">
        <f t="shared" si="8"/>
        <v>1793.04</v>
      </c>
      <c r="O122" s="25">
        <f t="shared" si="5"/>
        <v>10</v>
      </c>
      <c r="P122" s="25" t="str" cm="1">
        <f t="array" ref="P122">_xlfn.IFS(O122&lt;4,"Speedy",O122&lt;7,"Standard",O122&gt;=7,"Slow")</f>
        <v>Slow</v>
      </c>
      <c r="Q122" s="25" t="str">
        <f t="shared" si="9"/>
        <v>January</v>
      </c>
      <c r="R122" s="25" t="str">
        <f t="shared" si="6"/>
        <v>2023</v>
      </c>
      <c r="S122" s="25" t="str">
        <f t="shared" si="7"/>
        <v>January 2023</v>
      </c>
      <c r="T122" s="25" t="str">
        <f>_xlfn.XLOOKUP(B122,REF_Products!$A$2:$A$41,REF_Products!$C$2:$C$41)</f>
        <v>Books</v>
      </c>
    </row>
    <row r="123" spans="1:20">
      <c r="A123" s="4" t="s">
        <v>709</v>
      </c>
      <c r="B123" s="4" t="s">
        <v>35</v>
      </c>
      <c r="C123" s="4" t="s">
        <v>591</v>
      </c>
      <c r="D123" s="4">
        <v>7</v>
      </c>
      <c r="E123" s="13">
        <v>91.01</v>
      </c>
      <c r="F123" s="15">
        <v>45375</v>
      </c>
      <c r="G123" s="15">
        <v>45380</v>
      </c>
      <c r="H123" s="4" t="s">
        <v>192</v>
      </c>
      <c r="I123" s="4" t="s">
        <v>24</v>
      </c>
      <c r="J123" s="4" t="s">
        <v>710</v>
      </c>
      <c r="K123" s="4" t="s">
        <v>26</v>
      </c>
      <c r="N123" s="25">
        <f t="shared" si="8"/>
        <v>637.07000000000005</v>
      </c>
      <c r="O123" s="25">
        <f t="shared" si="5"/>
        <v>5</v>
      </c>
      <c r="P123" s="25" t="str" cm="1">
        <f t="array" ref="P123">_xlfn.IFS(O123&lt;4,"Speedy",O123&lt;7,"Standard",O123&gt;=7,"Slow")</f>
        <v>Standard</v>
      </c>
      <c r="Q123" s="25" t="str">
        <f t="shared" si="9"/>
        <v>March</v>
      </c>
      <c r="R123" s="25" t="str">
        <f t="shared" si="6"/>
        <v>2024</v>
      </c>
      <c r="S123" s="25" t="str">
        <f t="shared" si="7"/>
        <v>March 2024</v>
      </c>
      <c r="T123" s="25" t="str">
        <f>_xlfn.XLOOKUP(B123,REF_Products!$A$2:$A$41,REF_Products!$C$2:$C$41)</f>
        <v>Stationery</v>
      </c>
    </row>
    <row r="124" spans="1:20">
      <c r="A124" s="4" t="s">
        <v>711</v>
      </c>
      <c r="B124" s="4" t="s">
        <v>113</v>
      </c>
      <c r="C124" s="4" t="s">
        <v>114</v>
      </c>
      <c r="D124" s="4">
        <v>7</v>
      </c>
      <c r="E124" s="13">
        <v>127.46</v>
      </c>
      <c r="F124" s="15">
        <v>45105</v>
      </c>
      <c r="G124" s="15">
        <v>45112</v>
      </c>
      <c r="H124" s="4" t="s">
        <v>553</v>
      </c>
      <c r="I124" s="4" t="s">
        <v>111</v>
      </c>
      <c r="J124" s="4" t="s">
        <v>117</v>
      </c>
      <c r="K124" s="4" t="s">
        <v>26</v>
      </c>
      <c r="N124" s="25">
        <f t="shared" si="8"/>
        <v>892.21999999999991</v>
      </c>
      <c r="O124" s="25">
        <f t="shared" si="5"/>
        <v>7</v>
      </c>
      <c r="P124" s="25" t="str" cm="1">
        <f t="array" ref="P124">_xlfn.IFS(O124&lt;4,"Speedy",O124&lt;7,"Standard",O124&gt;=7,"Slow")</f>
        <v>Slow</v>
      </c>
      <c r="Q124" s="25" t="str">
        <f t="shared" si="9"/>
        <v>June</v>
      </c>
      <c r="R124" s="25" t="str">
        <f t="shared" si="6"/>
        <v>2023</v>
      </c>
      <c r="S124" s="25" t="str">
        <f t="shared" si="7"/>
        <v>June 2023</v>
      </c>
      <c r="T124" s="25" t="str">
        <f>_xlfn.XLOOKUP(B124,REF_Products!$A$2:$A$41,REF_Products!$C$2:$C$41)</f>
        <v>Sportswear</v>
      </c>
    </row>
    <row r="125" spans="1:20">
      <c r="A125" s="4" t="s">
        <v>712</v>
      </c>
      <c r="B125" s="4" t="s">
        <v>106</v>
      </c>
      <c r="C125" s="4" t="s">
        <v>713</v>
      </c>
      <c r="D125" s="4">
        <v>1</v>
      </c>
      <c r="E125" s="13">
        <v>131.9</v>
      </c>
      <c r="F125" s="15">
        <v>45009</v>
      </c>
      <c r="G125" s="15">
        <v>45017</v>
      </c>
      <c r="H125" s="4" t="s">
        <v>510</v>
      </c>
      <c r="I125" s="4" t="s">
        <v>111</v>
      </c>
      <c r="J125" s="4" t="s">
        <v>150</v>
      </c>
      <c r="K125" s="4" t="s">
        <v>18</v>
      </c>
      <c r="N125" s="25">
        <f t="shared" si="8"/>
        <v>131.9</v>
      </c>
      <c r="O125" s="25">
        <f t="shared" si="5"/>
        <v>8</v>
      </c>
      <c r="P125" s="25" t="str" cm="1">
        <f t="array" ref="P125">_xlfn.IFS(O125&lt;4,"Speedy",O125&lt;7,"Standard",O125&gt;=7,"Slow")</f>
        <v>Slow</v>
      </c>
      <c r="Q125" s="25" t="str">
        <f t="shared" si="9"/>
        <v>March</v>
      </c>
      <c r="R125" s="25" t="str">
        <f t="shared" si="6"/>
        <v>2023</v>
      </c>
      <c r="S125" s="25" t="str">
        <f t="shared" si="7"/>
        <v>March 2023</v>
      </c>
      <c r="T125" s="25" t="str">
        <f>_xlfn.XLOOKUP(B125,REF_Products!$A$2:$A$41,REF_Products!$C$2:$C$41)</f>
        <v>Electronics</v>
      </c>
    </row>
    <row r="126" spans="1:20">
      <c r="A126" s="4" t="s">
        <v>714</v>
      </c>
      <c r="B126" s="4" t="s">
        <v>12</v>
      </c>
      <c r="C126" s="4" t="s">
        <v>609</v>
      </c>
      <c r="D126" s="4">
        <v>7</v>
      </c>
      <c r="E126" s="13">
        <v>190.64</v>
      </c>
      <c r="F126" s="15">
        <v>45202</v>
      </c>
      <c r="G126" s="15">
        <v>45207</v>
      </c>
      <c r="H126" s="4" t="s">
        <v>562</v>
      </c>
      <c r="I126" s="4" t="s">
        <v>46</v>
      </c>
      <c r="J126" s="4" t="s">
        <v>165</v>
      </c>
      <c r="K126" s="4" t="s">
        <v>18</v>
      </c>
      <c r="N126" s="25">
        <f t="shared" si="8"/>
        <v>1334.48</v>
      </c>
      <c r="O126" s="25">
        <f t="shared" si="5"/>
        <v>5</v>
      </c>
      <c r="P126" s="25" t="str" cm="1">
        <f t="array" ref="P126">_xlfn.IFS(O126&lt;4,"Speedy",O126&lt;7,"Standard",O126&gt;=7,"Slow")</f>
        <v>Standard</v>
      </c>
      <c r="Q126" s="25" t="str">
        <f t="shared" si="9"/>
        <v>October</v>
      </c>
      <c r="R126" s="25" t="str">
        <f t="shared" si="6"/>
        <v>2023</v>
      </c>
      <c r="S126" s="25" t="str">
        <f t="shared" si="7"/>
        <v>October 2023</v>
      </c>
      <c r="T126" s="25" t="str">
        <f>_xlfn.XLOOKUP(B126,REF_Products!$A$2:$A$41,REF_Products!$C$2:$C$41)</f>
        <v>Kitchen</v>
      </c>
    </row>
    <row r="127" spans="1:20">
      <c r="A127" s="4" t="s">
        <v>715</v>
      </c>
      <c r="B127" s="4" t="s">
        <v>156</v>
      </c>
      <c r="C127" s="4" t="s">
        <v>595</v>
      </c>
      <c r="D127" s="4">
        <v>3</v>
      </c>
      <c r="E127" s="13">
        <v>87.41</v>
      </c>
      <c r="F127" s="15">
        <v>45080</v>
      </c>
      <c r="G127" s="15">
        <v>45093</v>
      </c>
      <c r="H127" s="4" t="s">
        <v>357</v>
      </c>
      <c r="I127" s="4" t="s">
        <v>24</v>
      </c>
      <c r="J127" s="4" t="s">
        <v>716</v>
      </c>
      <c r="K127" s="4" t="s">
        <v>559</v>
      </c>
      <c r="N127" s="25">
        <f t="shared" si="8"/>
        <v>262.23</v>
      </c>
      <c r="O127" s="25">
        <f t="shared" si="5"/>
        <v>13</v>
      </c>
      <c r="P127" s="25" t="str" cm="1">
        <f t="array" ref="P127">_xlfn.IFS(O127&lt;4,"Speedy",O127&lt;7,"Standard",O127&gt;=7,"Slow")</f>
        <v>Slow</v>
      </c>
      <c r="Q127" s="25" t="str">
        <f t="shared" si="9"/>
        <v>June</v>
      </c>
      <c r="R127" s="25" t="str">
        <f t="shared" si="6"/>
        <v>2023</v>
      </c>
      <c r="S127" s="25" t="str">
        <f t="shared" si="7"/>
        <v>June 2023</v>
      </c>
      <c r="T127" s="25" t="str">
        <f>_xlfn.XLOOKUP(B127,REF_Products!$A$2:$A$41,REF_Products!$C$2:$C$41)</f>
        <v>Books</v>
      </c>
    </row>
    <row r="128" spans="1:20">
      <c r="A128" s="4" t="s">
        <v>717</v>
      </c>
      <c r="B128" s="4" t="s">
        <v>354</v>
      </c>
      <c r="C128" s="4" t="s">
        <v>355</v>
      </c>
      <c r="D128" s="4">
        <v>10</v>
      </c>
      <c r="E128" s="13">
        <v>179.41</v>
      </c>
      <c r="F128" s="15">
        <v>45087</v>
      </c>
      <c r="G128" s="15">
        <v>45088</v>
      </c>
      <c r="H128" s="4" t="s">
        <v>357</v>
      </c>
      <c r="I128" s="4" t="s">
        <v>16</v>
      </c>
      <c r="J128" s="4" t="s">
        <v>480</v>
      </c>
      <c r="K128" s="4" t="s">
        <v>559</v>
      </c>
      <c r="N128" s="25">
        <f t="shared" si="8"/>
        <v>1794.1</v>
      </c>
      <c r="O128" s="25">
        <f t="shared" si="5"/>
        <v>1</v>
      </c>
      <c r="P128" s="25" t="str" cm="1">
        <f t="array" ref="P128">_xlfn.IFS(O128&lt;4,"Speedy",O128&lt;7,"Standard",O128&gt;=7,"Slow")</f>
        <v>Speedy</v>
      </c>
      <c r="Q128" s="25" t="str">
        <f t="shared" si="9"/>
        <v>June</v>
      </c>
      <c r="R128" s="25" t="str">
        <f t="shared" si="6"/>
        <v>2023</v>
      </c>
      <c r="S128" s="25" t="str">
        <f t="shared" si="7"/>
        <v>June 2023</v>
      </c>
      <c r="T128" s="25" t="str">
        <f>_xlfn.XLOOKUP(B128,REF_Products!$A$2:$A$41,REF_Products!$C$2:$C$41)</f>
        <v>Sportswear</v>
      </c>
    </row>
    <row r="129" spans="1:20">
      <c r="A129" s="4" t="s">
        <v>718</v>
      </c>
      <c r="B129" s="4" t="s">
        <v>350</v>
      </c>
      <c r="C129" s="4" t="s">
        <v>566</v>
      </c>
      <c r="D129" s="4">
        <v>10</v>
      </c>
      <c r="E129" s="13">
        <v>242.43</v>
      </c>
      <c r="F129" s="15">
        <v>45450</v>
      </c>
      <c r="G129" s="15">
        <v>45454</v>
      </c>
      <c r="H129" s="4" t="s">
        <v>192</v>
      </c>
      <c r="I129" s="4" t="s">
        <v>31</v>
      </c>
      <c r="J129" s="4" t="s">
        <v>559</v>
      </c>
      <c r="K129" s="4" t="s">
        <v>559</v>
      </c>
      <c r="N129" s="25">
        <f t="shared" si="8"/>
        <v>2424.3000000000002</v>
      </c>
      <c r="O129" s="25">
        <f t="shared" si="5"/>
        <v>4</v>
      </c>
      <c r="P129" s="25" t="str" cm="1">
        <f t="array" ref="P129">_xlfn.IFS(O129&lt;4,"Speedy",O129&lt;7,"Standard",O129&gt;=7,"Slow")</f>
        <v>Standard</v>
      </c>
      <c r="Q129" s="25" t="str">
        <f t="shared" si="9"/>
        <v>June</v>
      </c>
      <c r="R129" s="25" t="str">
        <f t="shared" si="6"/>
        <v>2024</v>
      </c>
      <c r="S129" s="25" t="str">
        <f t="shared" si="7"/>
        <v>June 2024</v>
      </c>
      <c r="T129" s="25" t="str">
        <f>_xlfn.XLOOKUP(B129,REF_Products!$A$2:$A$41,REF_Products!$C$2:$C$41)</f>
        <v>Books</v>
      </c>
    </row>
    <row r="130" spans="1:20">
      <c r="A130" s="4" t="s">
        <v>719</v>
      </c>
      <c r="B130" s="4" t="s">
        <v>210</v>
      </c>
      <c r="C130" s="4" t="s">
        <v>563</v>
      </c>
      <c r="D130" s="4">
        <v>1</v>
      </c>
      <c r="E130" s="13">
        <v>22.19</v>
      </c>
      <c r="F130" s="15">
        <v>44942</v>
      </c>
      <c r="G130" s="15">
        <v>44946</v>
      </c>
      <c r="H130" s="4" t="s">
        <v>71</v>
      </c>
      <c r="I130" s="4" t="s">
        <v>46</v>
      </c>
      <c r="J130" s="4" t="s">
        <v>214</v>
      </c>
      <c r="K130" s="4" t="s">
        <v>48</v>
      </c>
      <c r="N130" s="25">
        <f t="shared" si="8"/>
        <v>22.19</v>
      </c>
      <c r="O130" s="25">
        <f t="shared" si="5"/>
        <v>4</v>
      </c>
      <c r="P130" s="25" t="str" cm="1">
        <f t="array" ref="P130">_xlfn.IFS(O130&lt;4,"Speedy",O130&lt;7,"Standard",O130&gt;=7,"Slow")</f>
        <v>Standard</v>
      </c>
      <c r="Q130" s="25" t="str">
        <f t="shared" si="9"/>
        <v>January</v>
      </c>
      <c r="R130" s="25" t="str">
        <f t="shared" si="6"/>
        <v>2023</v>
      </c>
      <c r="S130" s="25" t="str">
        <f t="shared" si="7"/>
        <v>January 2023</v>
      </c>
      <c r="T130" s="25" t="str">
        <f>_xlfn.XLOOKUP(B130,REF_Products!$A$2:$A$41,REF_Products!$C$2:$C$41)</f>
        <v>Books</v>
      </c>
    </row>
    <row r="131" spans="1:20">
      <c r="A131" s="4" t="s">
        <v>720</v>
      </c>
      <c r="B131" s="4" t="s">
        <v>50</v>
      </c>
      <c r="C131" s="4" t="s">
        <v>556</v>
      </c>
      <c r="D131" s="4">
        <v>7</v>
      </c>
      <c r="E131" s="13">
        <v>223.67</v>
      </c>
      <c r="F131" s="15">
        <v>45345</v>
      </c>
      <c r="G131" s="15">
        <v>45356</v>
      </c>
      <c r="H131" s="4" t="s">
        <v>555</v>
      </c>
      <c r="I131" s="4" t="s">
        <v>16</v>
      </c>
      <c r="J131" s="4" t="s">
        <v>54</v>
      </c>
      <c r="K131" s="4" t="s">
        <v>559</v>
      </c>
      <c r="N131" s="25">
        <f t="shared" si="8"/>
        <v>1565.6899999999998</v>
      </c>
      <c r="O131" s="25">
        <f t="shared" ref="O131:O151" si="10">_xlfn.DAYS(G131,F131)</f>
        <v>11</v>
      </c>
      <c r="P131" s="25" t="str" cm="1">
        <f t="array" ref="P131">_xlfn.IFS(O131&lt;4,"Speedy",O131&lt;7,"Standard",O131&gt;=7,"Slow")</f>
        <v>Slow</v>
      </c>
      <c r="Q131" s="25" t="str">
        <f t="shared" si="9"/>
        <v>February</v>
      </c>
      <c r="R131" s="25" t="str">
        <f t="shared" ref="R131:R151" si="11">TEXT(F131,"yyyy")</f>
        <v>2024</v>
      </c>
      <c r="S131" s="25" t="str">
        <f t="shared" ref="S131:S151" si="12">CONCATENATE(Q131," ",R131)</f>
        <v>February 2024</v>
      </c>
      <c r="T131" s="25" t="str">
        <f>_xlfn.XLOOKUP(B131,REF_Products!$A$2:$A$41,REF_Products!$C$2:$C$41)</f>
        <v>Sportswear</v>
      </c>
    </row>
    <row r="132" spans="1:20">
      <c r="A132" s="4" t="s">
        <v>721</v>
      </c>
      <c r="B132" s="4" t="s">
        <v>185</v>
      </c>
      <c r="C132" s="4" t="s">
        <v>186</v>
      </c>
      <c r="D132" s="4">
        <v>4</v>
      </c>
      <c r="E132" s="13">
        <v>41.71</v>
      </c>
      <c r="F132" s="15">
        <v>45006</v>
      </c>
      <c r="G132" s="15">
        <v>45020</v>
      </c>
      <c r="H132" s="4" t="s">
        <v>557</v>
      </c>
      <c r="I132" s="4" t="s">
        <v>31</v>
      </c>
      <c r="J132" s="4" t="s">
        <v>298</v>
      </c>
      <c r="K132" s="4" t="s">
        <v>559</v>
      </c>
      <c r="N132" s="25">
        <f t="shared" ref="N132:N151" si="13">PRODUCT(D132:E132)</f>
        <v>166.84</v>
      </c>
      <c r="O132" s="25">
        <f t="shared" si="10"/>
        <v>14</v>
      </c>
      <c r="P132" s="25" t="str" cm="1">
        <f t="array" ref="P132">_xlfn.IFS(O132&lt;4,"Speedy",O132&lt;7,"Standard",O132&gt;=7,"Slow")</f>
        <v>Slow</v>
      </c>
      <c r="Q132" s="25" t="str">
        <f t="shared" ref="Q132:Q151" si="14">TEXT(F132,"mmmm")</f>
        <v>March</v>
      </c>
      <c r="R132" s="25" t="str">
        <f t="shared" si="11"/>
        <v>2023</v>
      </c>
      <c r="S132" s="25" t="str">
        <f t="shared" si="12"/>
        <v>March 2023</v>
      </c>
      <c r="T132" s="25" t="str">
        <f>_xlfn.XLOOKUP(B132,REF_Products!$A$2:$A$41,REF_Products!$C$2:$C$41)</f>
        <v>Stationery</v>
      </c>
    </row>
    <row r="133" spans="1:20">
      <c r="A133" s="4" t="s">
        <v>722</v>
      </c>
      <c r="B133" s="4" t="s">
        <v>79</v>
      </c>
      <c r="C133" s="4" t="s">
        <v>80</v>
      </c>
      <c r="D133" s="4">
        <v>2</v>
      </c>
      <c r="E133" s="13">
        <v>80.95</v>
      </c>
      <c r="F133" s="15">
        <v>44958</v>
      </c>
      <c r="G133" s="15">
        <v>44971</v>
      </c>
      <c r="H133" s="4" t="s">
        <v>555</v>
      </c>
      <c r="I133" s="4" t="s">
        <v>46</v>
      </c>
      <c r="J133" s="4" t="s">
        <v>723</v>
      </c>
      <c r="K133" s="4" t="s">
        <v>559</v>
      </c>
      <c r="N133" s="25">
        <f t="shared" si="13"/>
        <v>161.9</v>
      </c>
      <c r="O133" s="25">
        <f t="shared" si="10"/>
        <v>13</v>
      </c>
      <c r="P133" s="25" t="str" cm="1">
        <f t="array" ref="P133">_xlfn.IFS(O133&lt;4,"Speedy",O133&lt;7,"Standard",O133&gt;=7,"Slow")</f>
        <v>Slow</v>
      </c>
      <c r="Q133" s="25" t="str">
        <f t="shared" si="14"/>
        <v>February</v>
      </c>
      <c r="R133" s="25" t="str">
        <f t="shared" si="11"/>
        <v>2023</v>
      </c>
      <c r="S133" s="25" t="str">
        <f t="shared" si="12"/>
        <v>February 2023</v>
      </c>
      <c r="T133" s="25" t="str">
        <f>_xlfn.XLOOKUP(B133,REF_Products!$A$2:$A$41,REF_Products!$C$2:$C$41)</f>
        <v>Clothing</v>
      </c>
    </row>
    <row r="134" spans="1:20">
      <c r="A134" s="4" t="s">
        <v>724</v>
      </c>
      <c r="B134" s="4" t="s">
        <v>106</v>
      </c>
      <c r="C134" s="4" t="s">
        <v>713</v>
      </c>
      <c r="D134" s="4">
        <v>1</v>
      </c>
      <c r="E134" s="13">
        <v>108.05</v>
      </c>
      <c r="F134" s="15">
        <v>45251</v>
      </c>
      <c r="G134" s="15">
        <v>45262</v>
      </c>
      <c r="H134" s="4" t="s">
        <v>555</v>
      </c>
      <c r="I134" s="4" t="s">
        <v>111</v>
      </c>
      <c r="J134" s="4" t="s">
        <v>112</v>
      </c>
      <c r="K134" s="4" t="s">
        <v>559</v>
      </c>
      <c r="N134" s="25">
        <f t="shared" si="13"/>
        <v>108.05</v>
      </c>
      <c r="O134" s="25">
        <f t="shared" si="10"/>
        <v>11</v>
      </c>
      <c r="P134" s="25" t="str" cm="1">
        <f t="array" ref="P134">_xlfn.IFS(O134&lt;4,"Speedy",O134&lt;7,"Standard",O134&gt;=7,"Slow")</f>
        <v>Slow</v>
      </c>
      <c r="Q134" s="25" t="str">
        <f t="shared" si="14"/>
        <v>November</v>
      </c>
      <c r="R134" s="25" t="str">
        <f t="shared" si="11"/>
        <v>2023</v>
      </c>
      <c r="S134" s="25" t="str">
        <f t="shared" si="12"/>
        <v>November 2023</v>
      </c>
      <c r="T134" s="25" t="str">
        <f>_xlfn.XLOOKUP(B134,REF_Products!$A$2:$A$41,REF_Products!$C$2:$C$41)</f>
        <v>Electronics</v>
      </c>
    </row>
    <row r="135" spans="1:20">
      <c r="A135" s="4" t="s">
        <v>725</v>
      </c>
      <c r="B135" s="4" t="s">
        <v>20</v>
      </c>
      <c r="C135" s="4" t="s">
        <v>599</v>
      </c>
      <c r="D135" s="4">
        <v>9</v>
      </c>
      <c r="E135" s="13">
        <v>30.51</v>
      </c>
      <c r="F135" s="15">
        <v>45308</v>
      </c>
      <c r="G135" s="15">
        <v>45321</v>
      </c>
      <c r="H135" s="4" t="s">
        <v>553</v>
      </c>
      <c r="I135" s="4" t="s">
        <v>31</v>
      </c>
      <c r="J135" s="4" t="s">
        <v>32</v>
      </c>
      <c r="K135" s="4" t="s">
        <v>33</v>
      </c>
      <c r="N135" s="25">
        <f t="shared" si="13"/>
        <v>274.59000000000003</v>
      </c>
      <c r="O135" s="25">
        <f t="shared" si="10"/>
        <v>13</v>
      </c>
      <c r="P135" s="25" t="str" cm="1">
        <f t="array" ref="P135">_xlfn.IFS(O135&lt;4,"Speedy",O135&lt;7,"Standard",O135&gt;=7,"Slow")</f>
        <v>Slow</v>
      </c>
      <c r="Q135" s="25" t="str">
        <f t="shared" si="14"/>
        <v>January</v>
      </c>
      <c r="R135" s="25" t="str">
        <f t="shared" si="11"/>
        <v>2024</v>
      </c>
      <c r="S135" s="25" t="str">
        <f t="shared" si="12"/>
        <v>January 2024</v>
      </c>
      <c r="T135" s="25" t="str">
        <f>_xlfn.XLOOKUP(B135,REF_Products!$A$2:$A$41,REF_Products!$C$2:$C$41)</f>
        <v>Health</v>
      </c>
    </row>
    <row r="136" spans="1:20">
      <c r="A136" s="4" t="s">
        <v>726</v>
      </c>
      <c r="B136" s="4" t="s">
        <v>177</v>
      </c>
      <c r="C136" s="4" t="s">
        <v>178</v>
      </c>
      <c r="D136" s="4">
        <v>4</v>
      </c>
      <c r="E136" s="13">
        <v>29.42</v>
      </c>
      <c r="F136" s="15">
        <v>45258</v>
      </c>
      <c r="G136" s="15">
        <v>45272</v>
      </c>
      <c r="H136" s="4" t="s">
        <v>192</v>
      </c>
      <c r="I136" s="4" t="s">
        <v>111</v>
      </c>
      <c r="J136" s="4" t="s">
        <v>727</v>
      </c>
      <c r="K136" s="4" t="s">
        <v>18</v>
      </c>
      <c r="N136" s="25">
        <f t="shared" si="13"/>
        <v>117.68</v>
      </c>
      <c r="O136" s="25">
        <f t="shared" si="10"/>
        <v>14</v>
      </c>
      <c r="P136" s="25" t="str" cm="1">
        <f t="array" ref="P136">_xlfn.IFS(O136&lt;4,"Speedy",O136&lt;7,"Standard",O136&gt;=7,"Slow")</f>
        <v>Slow</v>
      </c>
      <c r="Q136" s="25" t="str">
        <f t="shared" si="14"/>
        <v>November</v>
      </c>
      <c r="R136" s="25" t="str">
        <f t="shared" si="11"/>
        <v>2023</v>
      </c>
      <c r="S136" s="25" t="str">
        <f t="shared" si="12"/>
        <v>November 2023</v>
      </c>
      <c r="T136" s="25" t="str">
        <f>_xlfn.XLOOKUP(B136,REF_Products!$A$2:$A$41,REF_Products!$C$2:$C$41)</f>
        <v>Books</v>
      </c>
    </row>
    <row r="137" spans="1:20">
      <c r="A137" s="4" t="s">
        <v>728</v>
      </c>
      <c r="B137" s="4" t="s">
        <v>185</v>
      </c>
      <c r="C137" s="4" t="s">
        <v>186</v>
      </c>
      <c r="D137" s="4">
        <v>10</v>
      </c>
      <c r="E137" s="13">
        <v>290.23</v>
      </c>
      <c r="F137" s="15">
        <v>45153</v>
      </c>
      <c r="G137" s="15">
        <v>45158</v>
      </c>
      <c r="H137" s="4" t="s">
        <v>510</v>
      </c>
      <c r="I137" s="4" t="s">
        <v>111</v>
      </c>
      <c r="J137" s="4" t="s">
        <v>729</v>
      </c>
      <c r="K137" s="4" t="s">
        <v>559</v>
      </c>
      <c r="N137" s="25">
        <f t="shared" si="13"/>
        <v>2902.3</v>
      </c>
      <c r="O137" s="25">
        <f t="shared" si="10"/>
        <v>5</v>
      </c>
      <c r="P137" s="25" t="str" cm="1">
        <f t="array" ref="P137">_xlfn.IFS(O137&lt;4,"Speedy",O137&lt;7,"Standard",O137&gt;=7,"Slow")</f>
        <v>Standard</v>
      </c>
      <c r="Q137" s="25" t="str">
        <f t="shared" si="14"/>
        <v>August</v>
      </c>
      <c r="R137" s="25" t="str">
        <f t="shared" si="11"/>
        <v>2023</v>
      </c>
      <c r="S137" s="25" t="str">
        <f t="shared" si="12"/>
        <v>August 2023</v>
      </c>
      <c r="T137" s="25" t="str">
        <f>_xlfn.XLOOKUP(B137,REF_Products!$A$2:$A$41,REF_Products!$C$2:$C$41)</f>
        <v>Stationery</v>
      </c>
    </row>
    <row r="138" spans="1:20">
      <c r="A138" s="4" t="s">
        <v>730</v>
      </c>
      <c r="B138" s="4" t="s">
        <v>143</v>
      </c>
      <c r="C138" s="4" t="s">
        <v>577</v>
      </c>
      <c r="D138" s="4">
        <v>1</v>
      </c>
      <c r="E138" s="13">
        <v>109.56</v>
      </c>
      <c r="F138" s="15">
        <v>45311</v>
      </c>
      <c r="G138" s="15">
        <v>45320</v>
      </c>
      <c r="H138" s="4" t="s">
        <v>557</v>
      </c>
      <c r="I138" s="4" t="s">
        <v>46</v>
      </c>
      <c r="J138" s="4" t="s">
        <v>313</v>
      </c>
      <c r="K138" s="4" t="s">
        <v>33</v>
      </c>
      <c r="N138" s="25">
        <f t="shared" si="13"/>
        <v>109.56</v>
      </c>
      <c r="O138" s="25">
        <f t="shared" si="10"/>
        <v>9</v>
      </c>
      <c r="P138" s="25" t="str" cm="1">
        <f t="array" ref="P138">_xlfn.IFS(O138&lt;4,"Speedy",O138&lt;7,"Standard",O138&gt;=7,"Slow")</f>
        <v>Slow</v>
      </c>
      <c r="Q138" s="25" t="str">
        <f t="shared" si="14"/>
        <v>January</v>
      </c>
      <c r="R138" s="25" t="str">
        <f t="shared" si="11"/>
        <v>2024</v>
      </c>
      <c r="S138" s="25" t="str">
        <f t="shared" si="12"/>
        <v>January 2024</v>
      </c>
      <c r="T138" s="25" t="str">
        <f>_xlfn.XLOOKUP(B138,REF_Products!$A$2:$A$41,REF_Products!$C$2:$C$41)</f>
        <v>Kitchen</v>
      </c>
    </row>
    <row r="139" spans="1:20">
      <c r="A139" s="4" t="s">
        <v>731</v>
      </c>
      <c r="B139" s="4" t="s">
        <v>234</v>
      </c>
      <c r="C139" s="4" t="s">
        <v>235</v>
      </c>
      <c r="D139" s="4">
        <v>4</v>
      </c>
      <c r="E139" s="13">
        <v>40.53</v>
      </c>
      <c r="F139" s="15">
        <v>45366</v>
      </c>
      <c r="G139" s="15">
        <v>45379</v>
      </c>
      <c r="H139" s="4" t="s">
        <v>557</v>
      </c>
      <c r="I139" s="4" t="s">
        <v>16</v>
      </c>
      <c r="J139" s="4" t="s">
        <v>732</v>
      </c>
      <c r="K139" s="4" t="s">
        <v>48</v>
      </c>
      <c r="N139" s="25">
        <f t="shared" si="13"/>
        <v>162.12</v>
      </c>
      <c r="O139" s="25">
        <f t="shared" si="10"/>
        <v>13</v>
      </c>
      <c r="P139" s="25" t="str" cm="1">
        <f t="array" ref="P139">_xlfn.IFS(O139&lt;4,"Speedy",O139&lt;7,"Standard",O139&gt;=7,"Slow")</f>
        <v>Slow</v>
      </c>
      <c r="Q139" s="25" t="str">
        <f t="shared" si="14"/>
        <v>March</v>
      </c>
      <c r="R139" s="25" t="str">
        <f t="shared" si="11"/>
        <v>2024</v>
      </c>
      <c r="S139" s="25" t="str">
        <f t="shared" si="12"/>
        <v>March 2024</v>
      </c>
      <c r="T139" s="25" t="str">
        <f>_xlfn.XLOOKUP(B139,REF_Products!$A$2:$A$41,REF_Products!$C$2:$C$41)</f>
        <v>Electronics</v>
      </c>
    </row>
    <row r="140" spans="1:20">
      <c r="A140" s="4" t="s">
        <v>733</v>
      </c>
      <c r="B140" s="4" t="s">
        <v>20</v>
      </c>
      <c r="C140" s="4" t="s">
        <v>599</v>
      </c>
      <c r="D140" s="4">
        <v>3</v>
      </c>
      <c r="E140" s="13">
        <v>204.45</v>
      </c>
      <c r="F140" s="15">
        <v>45221</v>
      </c>
      <c r="G140" s="15">
        <v>45231</v>
      </c>
      <c r="H140" s="4" t="s">
        <v>357</v>
      </c>
      <c r="I140" s="4" t="s">
        <v>24</v>
      </c>
      <c r="J140" s="4" t="s">
        <v>734</v>
      </c>
      <c r="K140" s="4" t="s">
        <v>26</v>
      </c>
      <c r="N140" s="25">
        <f t="shared" si="13"/>
        <v>613.34999999999991</v>
      </c>
      <c r="O140" s="25">
        <f t="shared" si="10"/>
        <v>10</v>
      </c>
      <c r="P140" s="25" t="str" cm="1">
        <f t="array" ref="P140">_xlfn.IFS(O140&lt;4,"Speedy",O140&lt;7,"Standard",O140&gt;=7,"Slow")</f>
        <v>Slow</v>
      </c>
      <c r="Q140" s="25" t="str">
        <f t="shared" si="14"/>
        <v>October</v>
      </c>
      <c r="R140" s="25" t="str">
        <f t="shared" si="11"/>
        <v>2023</v>
      </c>
      <c r="S140" s="25" t="str">
        <f t="shared" si="12"/>
        <v>October 2023</v>
      </c>
      <c r="T140" s="25" t="str">
        <f>_xlfn.XLOOKUP(B140,REF_Products!$A$2:$A$41,REF_Products!$C$2:$C$41)</f>
        <v>Health</v>
      </c>
    </row>
    <row r="141" spans="1:20">
      <c r="A141" s="4" t="s">
        <v>735</v>
      </c>
      <c r="B141" s="4" t="s">
        <v>106</v>
      </c>
      <c r="C141" s="4" t="s">
        <v>713</v>
      </c>
      <c r="D141" s="4">
        <v>3</v>
      </c>
      <c r="E141" s="13">
        <v>181.87</v>
      </c>
      <c r="F141" s="15">
        <v>45055</v>
      </c>
      <c r="G141" s="15">
        <v>45065</v>
      </c>
      <c r="H141" s="4" t="s">
        <v>192</v>
      </c>
      <c r="I141" s="4" t="s">
        <v>111</v>
      </c>
      <c r="J141" s="4" t="s">
        <v>736</v>
      </c>
      <c r="K141" s="4" t="s">
        <v>559</v>
      </c>
      <c r="N141" s="25">
        <f t="shared" si="13"/>
        <v>545.61</v>
      </c>
      <c r="O141" s="25">
        <f t="shared" si="10"/>
        <v>10</v>
      </c>
      <c r="P141" s="25" t="str" cm="1">
        <f t="array" ref="P141">_xlfn.IFS(O141&lt;4,"Speedy",O141&lt;7,"Standard",O141&gt;=7,"Slow")</f>
        <v>Slow</v>
      </c>
      <c r="Q141" s="25" t="str">
        <f t="shared" si="14"/>
        <v>May</v>
      </c>
      <c r="R141" s="25" t="str">
        <f t="shared" si="11"/>
        <v>2023</v>
      </c>
      <c r="S141" s="25" t="str">
        <f t="shared" si="12"/>
        <v>May 2023</v>
      </c>
      <c r="T141" s="25" t="str">
        <f>_xlfn.XLOOKUP(B141,REF_Products!$A$2:$A$41,REF_Products!$C$2:$C$41)</f>
        <v>Electronics</v>
      </c>
    </row>
    <row r="142" spans="1:20">
      <c r="A142" s="4" t="s">
        <v>737</v>
      </c>
      <c r="B142" s="4" t="s">
        <v>79</v>
      </c>
      <c r="C142" s="4" t="s">
        <v>80</v>
      </c>
      <c r="D142" s="4">
        <v>2</v>
      </c>
      <c r="E142" s="13">
        <v>156.15</v>
      </c>
      <c r="F142" s="15">
        <v>44989</v>
      </c>
      <c r="G142" s="15">
        <v>45000</v>
      </c>
      <c r="H142" s="4" t="s">
        <v>357</v>
      </c>
      <c r="I142" s="4" t="s">
        <v>24</v>
      </c>
      <c r="J142" s="4" t="s">
        <v>418</v>
      </c>
      <c r="K142" s="4" t="s">
        <v>559</v>
      </c>
      <c r="N142" s="25">
        <f t="shared" si="13"/>
        <v>312.3</v>
      </c>
      <c r="O142" s="25">
        <f t="shared" si="10"/>
        <v>11</v>
      </c>
      <c r="P142" s="25" t="str" cm="1">
        <f t="array" ref="P142">_xlfn.IFS(O142&lt;4,"Speedy",O142&lt;7,"Standard",O142&gt;=7,"Slow")</f>
        <v>Slow</v>
      </c>
      <c r="Q142" s="25" t="str">
        <f t="shared" si="14"/>
        <v>March</v>
      </c>
      <c r="R142" s="25" t="str">
        <f t="shared" si="11"/>
        <v>2023</v>
      </c>
      <c r="S142" s="25" t="str">
        <f t="shared" si="12"/>
        <v>March 2023</v>
      </c>
      <c r="T142" s="25" t="str">
        <f>_xlfn.XLOOKUP(B142,REF_Products!$A$2:$A$41,REF_Products!$C$2:$C$41)</f>
        <v>Clothing</v>
      </c>
    </row>
    <row r="143" spans="1:20">
      <c r="A143" s="4" t="s">
        <v>738</v>
      </c>
      <c r="B143" s="4" t="s">
        <v>451</v>
      </c>
      <c r="C143" s="4" t="s">
        <v>739</v>
      </c>
      <c r="D143" s="4">
        <v>4</v>
      </c>
      <c r="E143" s="13">
        <v>92.62</v>
      </c>
      <c r="F143" s="15">
        <v>45002</v>
      </c>
      <c r="G143" s="15">
        <v>45015</v>
      </c>
      <c r="H143" s="4" t="s">
        <v>553</v>
      </c>
      <c r="I143" s="4" t="s">
        <v>24</v>
      </c>
      <c r="J143" s="4" t="s">
        <v>454</v>
      </c>
      <c r="K143" s="4" t="s">
        <v>33</v>
      </c>
      <c r="N143" s="25">
        <f t="shared" si="13"/>
        <v>370.48</v>
      </c>
      <c r="O143" s="25">
        <f t="shared" si="10"/>
        <v>13</v>
      </c>
      <c r="P143" s="25" t="str" cm="1">
        <f t="array" ref="P143">_xlfn.IFS(O143&lt;4,"Speedy",O143&lt;7,"Standard",O143&gt;=7,"Slow")</f>
        <v>Slow</v>
      </c>
      <c r="Q143" s="25" t="str">
        <f t="shared" si="14"/>
        <v>March</v>
      </c>
      <c r="R143" s="25" t="str">
        <f t="shared" si="11"/>
        <v>2023</v>
      </c>
      <c r="S143" s="25" t="str">
        <f t="shared" si="12"/>
        <v>March 2023</v>
      </c>
      <c r="T143" s="25" t="str">
        <f>_xlfn.XLOOKUP(B143,REF_Products!$A$2:$A$41,REF_Products!$C$2:$C$41)</f>
        <v>Clothing</v>
      </c>
    </row>
    <row r="144" spans="1:20">
      <c r="A144" s="4" t="s">
        <v>740</v>
      </c>
      <c r="B144" s="4" t="s">
        <v>79</v>
      </c>
      <c r="C144" s="4" t="s">
        <v>80</v>
      </c>
      <c r="D144" s="4">
        <v>8</v>
      </c>
      <c r="E144" s="13">
        <v>208.51</v>
      </c>
      <c r="F144" s="15">
        <v>45202</v>
      </c>
      <c r="G144" s="15">
        <v>45216</v>
      </c>
      <c r="H144" s="4" t="s">
        <v>555</v>
      </c>
      <c r="I144" s="4" t="s">
        <v>16</v>
      </c>
      <c r="J144" s="4" t="s">
        <v>741</v>
      </c>
      <c r="K144" s="4" t="s">
        <v>33</v>
      </c>
      <c r="N144" s="25">
        <f t="shared" si="13"/>
        <v>1668.08</v>
      </c>
      <c r="O144" s="25">
        <f t="shared" si="10"/>
        <v>14</v>
      </c>
      <c r="P144" s="25" t="str" cm="1">
        <f t="array" ref="P144">_xlfn.IFS(O144&lt;4,"Speedy",O144&lt;7,"Standard",O144&gt;=7,"Slow")</f>
        <v>Slow</v>
      </c>
      <c r="Q144" s="25" t="str">
        <f t="shared" si="14"/>
        <v>October</v>
      </c>
      <c r="R144" s="25" t="str">
        <f t="shared" si="11"/>
        <v>2023</v>
      </c>
      <c r="S144" s="25" t="str">
        <f t="shared" si="12"/>
        <v>October 2023</v>
      </c>
      <c r="T144" s="25" t="str">
        <f>_xlfn.XLOOKUP(B144,REF_Products!$A$2:$A$41,REF_Products!$C$2:$C$41)</f>
        <v>Clothing</v>
      </c>
    </row>
    <row r="145" spans="1:20">
      <c r="A145" s="4" t="s">
        <v>742</v>
      </c>
      <c r="B145" s="4" t="s">
        <v>68</v>
      </c>
      <c r="C145" s="4" t="s">
        <v>606</v>
      </c>
      <c r="D145" s="4">
        <v>7</v>
      </c>
      <c r="E145" s="13">
        <v>127.18</v>
      </c>
      <c r="F145" s="15">
        <v>45295</v>
      </c>
      <c r="G145" s="15">
        <v>45299</v>
      </c>
      <c r="H145" s="4" t="s">
        <v>71</v>
      </c>
      <c r="I145" s="4" t="s">
        <v>31</v>
      </c>
      <c r="J145" s="4" t="s">
        <v>743</v>
      </c>
      <c r="K145" s="4" t="s">
        <v>559</v>
      </c>
      <c r="N145" s="25">
        <f t="shared" si="13"/>
        <v>890.26</v>
      </c>
      <c r="O145" s="25">
        <f t="shared" si="10"/>
        <v>4</v>
      </c>
      <c r="P145" s="25" t="str" cm="1">
        <f t="array" ref="P145">_xlfn.IFS(O145&lt;4,"Speedy",O145&lt;7,"Standard",O145&gt;=7,"Slow")</f>
        <v>Standard</v>
      </c>
      <c r="Q145" s="25" t="str">
        <f t="shared" si="14"/>
        <v>January</v>
      </c>
      <c r="R145" s="25" t="str">
        <f t="shared" si="11"/>
        <v>2024</v>
      </c>
      <c r="S145" s="25" t="str">
        <f t="shared" si="12"/>
        <v>January 2024</v>
      </c>
      <c r="T145" s="25" t="str">
        <f>_xlfn.XLOOKUP(B145,REF_Products!$A$2:$A$41,REF_Products!$C$2:$C$41)</f>
        <v>Kitchen</v>
      </c>
    </row>
    <row r="146" spans="1:20">
      <c r="A146" s="4" t="s">
        <v>744</v>
      </c>
      <c r="B146" s="4" t="s">
        <v>156</v>
      </c>
      <c r="C146" s="4" t="s">
        <v>595</v>
      </c>
      <c r="D146" s="4">
        <v>4</v>
      </c>
      <c r="E146" s="13">
        <v>144.99</v>
      </c>
      <c r="F146" s="15">
        <v>45438</v>
      </c>
      <c r="G146" s="15">
        <v>45442</v>
      </c>
      <c r="H146" s="4" t="s">
        <v>555</v>
      </c>
      <c r="I146" s="4" t="s">
        <v>24</v>
      </c>
      <c r="J146" s="4" t="s">
        <v>208</v>
      </c>
      <c r="K146" s="4" t="s">
        <v>559</v>
      </c>
      <c r="N146" s="25">
        <f t="shared" si="13"/>
        <v>579.96</v>
      </c>
      <c r="O146" s="25">
        <f t="shared" si="10"/>
        <v>4</v>
      </c>
      <c r="P146" s="25" t="str" cm="1">
        <f t="array" ref="P146">_xlfn.IFS(O146&lt;4,"Speedy",O146&lt;7,"Standard",O146&gt;=7,"Slow")</f>
        <v>Standard</v>
      </c>
      <c r="Q146" s="25" t="str">
        <f t="shared" si="14"/>
        <v>May</v>
      </c>
      <c r="R146" s="25" t="str">
        <f t="shared" si="11"/>
        <v>2024</v>
      </c>
      <c r="S146" s="25" t="str">
        <f t="shared" si="12"/>
        <v>May 2024</v>
      </c>
      <c r="T146" s="25" t="str">
        <f>_xlfn.XLOOKUP(B146,REF_Products!$A$2:$A$41,REF_Products!$C$2:$C$41)</f>
        <v>Books</v>
      </c>
    </row>
    <row r="147" spans="1:20">
      <c r="A147" s="4" t="s">
        <v>745</v>
      </c>
      <c r="B147" s="4" t="s">
        <v>309</v>
      </c>
      <c r="C147" s="4" t="s">
        <v>310</v>
      </c>
      <c r="D147" s="4">
        <v>2</v>
      </c>
      <c r="E147" s="13">
        <v>102.95</v>
      </c>
      <c r="F147" s="15">
        <v>44928</v>
      </c>
      <c r="G147" s="15">
        <v>44930</v>
      </c>
      <c r="H147" s="4" t="s">
        <v>555</v>
      </c>
      <c r="I147" s="4" t="s">
        <v>31</v>
      </c>
      <c r="J147" s="4" t="s">
        <v>380</v>
      </c>
      <c r="K147" s="4" t="s">
        <v>559</v>
      </c>
      <c r="N147" s="25">
        <f t="shared" si="13"/>
        <v>205.9</v>
      </c>
      <c r="O147" s="25">
        <f t="shared" si="10"/>
        <v>2</v>
      </c>
      <c r="P147" s="25" t="str" cm="1">
        <f t="array" ref="P147">_xlfn.IFS(O147&lt;4,"Speedy",O147&lt;7,"Standard",O147&gt;=7,"Slow")</f>
        <v>Speedy</v>
      </c>
      <c r="Q147" s="25" t="str">
        <f t="shared" si="14"/>
        <v>January</v>
      </c>
      <c r="R147" s="25" t="str">
        <f t="shared" si="11"/>
        <v>2023</v>
      </c>
      <c r="S147" s="25" t="str">
        <f t="shared" si="12"/>
        <v>January 2023</v>
      </c>
      <c r="T147" s="25" t="str">
        <f>_xlfn.XLOOKUP(B147,REF_Products!$A$2:$A$41,REF_Products!$C$2:$C$41)</f>
        <v>Stationery</v>
      </c>
    </row>
    <row r="148" spans="1:20">
      <c r="A148" s="4" t="s">
        <v>746</v>
      </c>
      <c r="B148" s="4" t="s">
        <v>451</v>
      </c>
      <c r="C148" s="4" t="s">
        <v>739</v>
      </c>
      <c r="D148" s="4">
        <v>6</v>
      </c>
      <c r="E148" s="13">
        <v>251.07</v>
      </c>
      <c r="F148" s="15">
        <v>45340</v>
      </c>
      <c r="G148" s="15">
        <v>45353</v>
      </c>
      <c r="H148" s="4" t="s">
        <v>557</v>
      </c>
      <c r="I148" s="4" t="s">
        <v>111</v>
      </c>
      <c r="J148" s="4" t="s">
        <v>747</v>
      </c>
      <c r="K148" s="4" t="s">
        <v>559</v>
      </c>
      <c r="N148" s="25">
        <f t="shared" si="13"/>
        <v>1506.42</v>
      </c>
      <c r="O148" s="25">
        <f t="shared" si="10"/>
        <v>13</v>
      </c>
      <c r="P148" s="25" t="str" cm="1">
        <f t="array" ref="P148">_xlfn.IFS(O148&lt;4,"Speedy",O148&lt;7,"Standard",O148&gt;=7,"Slow")</f>
        <v>Slow</v>
      </c>
      <c r="Q148" s="25" t="str">
        <f t="shared" si="14"/>
        <v>February</v>
      </c>
      <c r="R148" s="25" t="str">
        <f t="shared" si="11"/>
        <v>2024</v>
      </c>
      <c r="S148" s="25" t="str">
        <f t="shared" si="12"/>
        <v>February 2024</v>
      </c>
      <c r="T148" s="25" t="str">
        <f>_xlfn.XLOOKUP(B148,REF_Products!$A$2:$A$41,REF_Products!$C$2:$C$41)</f>
        <v>Clothing</v>
      </c>
    </row>
    <row r="149" spans="1:20">
      <c r="A149" s="4" t="s">
        <v>748</v>
      </c>
      <c r="B149" s="4" t="s">
        <v>101</v>
      </c>
      <c r="C149" s="4" t="s">
        <v>584</v>
      </c>
      <c r="D149" s="4">
        <v>1</v>
      </c>
      <c r="E149" s="13">
        <v>281.68</v>
      </c>
      <c r="F149" s="15">
        <v>45042</v>
      </c>
      <c r="G149" s="15">
        <v>45055</v>
      </c>
      <c r="H149" s="4" t="s">
        <v>562</v>
      </c>
      <c r="I149" s="4" t="s">
        <v>46</v>
      </c>
      <c r="J149" s="4" t="s">
        <v>749</v>
      </c>
      <c r="K149" s="4" t="s">
        <v>559</v>
      </c>
      <c r="N149" s="25">
        <f t="shared" si="13"/>
        <v>281.68</v>
      </c>
      <c r="O149" s="25">
        <f t="shared" si="10"/>
        <v>13</v>
      </c>
      <c r="P149" s="25" t="str" cm="1">
        <f t="array" ref="P149">_xlfn.IFS(O149&lt;4,"Speedy",O149&lt;7,"Standard",O149&gt;=7,"Slow")</f>
        <v>Slow</v>
      </c>
      <c r="Q149" s="25" t="str">
        <f t="shared" si="14"/>
        <v>April</v>
      </c>
      <c r="R149" s="25" t="str">
        <f t="shared" si="11"/>
        <v>2023</v>
      </c>
      <c r="S149" s="25" t="str">
        <f t="shared" si="12"/>
        <v>April 2023</v>
      </c>
      <c r="T149" s="25" t="str">
        <f>_xlfn.XLOOKUP(B149,REF_Products!$A$2:$A$41,REF_Products!$C$2:$C$41)</f>
        <v>Health</v>
      </c>
    </row>
    <row r="150" spans="1:20">
      <c r="A150" s="4" t="s">
        <v>750</v>
      </c>
      <c r="B150" s="4" t="s">
        <v>62</v>
      </c>
      <c r="C150" s="4" t="s">
        <v>576</v>
      </c>
      <c r="D150" s="4">
        <v>9</v>
      </c>
      <c r="E150" s="13">
        <v>64.59</v>
      </c>
      <c r="F150" s="15">
        <v>45071</v>
      </c>
      <c r="G150" s="15">
        <v>45073</v>
      </c>
      <c r="H150" s="4" t="s">
        <v>553</v>
      </c>
      <c r="I150" s="4" t="s">
        <v>111</v>
      </c>
      <c r="J150" s="4" t="s">
        <v>506</v>
      </c>
      <c r="K150" s="4" t="s">
        <v>33</v>
      </c>
      <c r="N150" s="25">
        <f t="shared" si="13"/>
        <v>581.31000000000006</v>
      </c>
      <c r="O150" s="25">
        <f t="shared" si="10"/>
        <v>2</v>
      </c>
      <c r="P150" s="25" t="str" cm="1">
        <f t="array" ref="P150">_xlfn.IFS(O150&lt;4,"Speedy",O150&lt;7,"Standard",O150&gt;=7,"Slow")</f>
        <v>Speedy</v>
      </c>
      <c r="Q150" s="25" t="str">
        <f t="shared" si="14"/>
        <v>May</v>
      </c>
      <c r="R150" s="25" t="str">
        <f t="shared" si="11"/>
        <v>2023</v>
      </c>
      <c r="S150" s="25" t="str">
        <f t="shared" si="12"/>
        <v>May 2023</v>
      </c>
      <c r="T150" s="25" t="str">
        <f>_xlfn.XLOOKUP(B150,REF_Products!$A$2:$A$41,REF_Products!$C$2:$C$41)</f>
        <v>Electronics</v>
      </c>
    </row>
    <row r="151" spans="1:20">
      <c r="A151" s="4" t="s">
        <v>751</v>
      </c>
      <c r="B151" s="4" t="s">
        <v>106</v>
      </c>
      <c r="C151" s="4" t="s">
        <v>713</v>
      </c>
      <c r="D151" s="4">
        <v>7</v>
      </c>
      <c r="E151" s="13">
        <v>64.150000000000006</v>
      </c>
      <c r="F151" s="15">
        <v>45291</v>
      </c>
      <c r="G151" s="15">
        <v>45293</v>
      </c>
      <c r="H151" s="4" t="s">
        <v>562</v>
      </c>
      <c r="I151" s="4" t="s">
        <v>111</v>
      </c>
      <c r="J151" s="4" t="s">
        <v>752</v>
      </c>
      <c r="K151" s="4" t="s">
        <v>33</v>
      </c>
      <c r="N151" s="26">
        <f t="shared" si="13"/>
        <v>449.05000000000007</v>
      </c>
      <c r="O151" s="26">
        <f t="shared" si="10"/>
        <v>2</v>
      </c>
      <c r="P151" s="26" t="str" cm="1">
        <f t="array" ref="P151">_xlfn.IFS(O151&lt;4,"Speedy",O151&lt;7,"Standard",O151&gt;=7,"Slow")</f>
        <v>Speedy</v>
      </c>
      <c r="Q151" s="26" t="str">
        <f t="shared" si="14"/>
        <v>December</v>
      </c>
      <c r="R151" s="26" t="str">
        <f t="shared" si="11"/>
        <v>2023</v>
      </c>
      <c r="S151" s="26" t="str">
        <f t="shared" si="12"/>
        <v>December 2023</v>
      </c>
      <c r="T151" s="26" t="str">
        <f>_xlfn.XLOOKUP(B151,REF_Products!$A$2:$A$41,REF_Products!$C$2:$C$41)</f>
        <v>Electronics</v>
      </c>
    </row>
  </sheetData>
  <conditionalFormatting sqref="A2:K51">
    <cfRule type="expression" dxfId="107" priority="1">
      <formula>$I2="Cancelled"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ABE-18E6-472D-A2C8-DFF21173CF6A}">
  <dimension ref="A1:I84"/>
  <sheetViews>
    <sheetView workbookViewId="0">
      <selection activeCell="L8" sqref="L8"/>
    </sheetView>
  </sheetViews>
  <sheetFormatPr defaultRowHeight="15"/>
  <cols>
    <col min="1" max="1" width="12.7109375" bestFit="1" customWidth="1"/>
    <col min="2" max="2" width="19.85546875" bestFit="1" customWidth="1"/>
    <col min="3" max="3" width="22.42578125" bestFit="1" customWidth="1"/>
    <col min="4" max="4" width="10.85546875" bestFit="1" customWidth="1"/>
    <col min="5" max="5" width="14" bestFit="1" customWidth="1"/>
    <col min="6" max="6" width="18.140625" bestFit="1" customWidth="1"/>
    <col min="7" max="7" width="34.42578125" bestFit="1" customWidth="1"/>
    <col min="8" max="8" width="14.42578125" bestFit="1" customWidth="1"/>
    <col min="9" max="9" width="16" bestFit="1" customWidth="1"/>
  </cols>
  <sheetData>
    <row r="1" spans="1:9">
      <c r="A1" s="4" t="s">
        <v>753</v>
      </c>
      <c r="B1" s="4" t="s">
        <v>754</v>
      </c>
      <c r="C1" s="4" t="s">
        <v>755</v>
      </c>
      <c r="D1" s="4" t="s">
        <v>756</v>
      </c>
      <c r="E1" s="4" t="s">
        <v>757</v>
      </c>
      <c r="F1" s="4" t="s">
        <v>758</v>
      </c>
      <c r="G1" s="4" t="s">
        <v>759</v>
      </c>
      <c r="H1" s="4" t="s">
        <v>760</v>
      </c>
      <c r="I1" s="4" t="s">
        <v>7</v>
      </c>
    </row>
    <row r="2" spans="1:9">
      <c r="A2" s="4" t="s">
        <v>761</v>
      </c>
      <c r="B2" s="4" t="s">
        <v>762</v>
      </c>
      <c r="C2" s="4" t="s">
        <v>763</v>
      </c>
      <c r="D2" s="2">
        <v>44396</v>
      </c>
      <c r="E2" s="12" t="s">
        <v>764</v>
      </c>
      <c r="F2" s="4">
        <v>1.2</v>
      </c>
      <c r="G2" s="4" t="s">
        <v>765</v>
      </c>
      <c r="H2" s="4" t="s">
        <v>766</v>
      </c>
      <c r="I2" s="4" t="s">
        <v>23</v>
      </c>
    </row>
    <row r="3" spans="1:9">
      <c r="A3" s="4" t="s">
        <v>767</v>
      </c>
      <c r="B3" s="4" t="s">
        <v>768</v>
      </c>
      <c r="C3" s="4" t="s">
        <v>769</v>
      </c>
      <c r="D3" s="1" t="s">
        <v>770</v>
      </c>
      <c r="E3" s="12" t="s">
        <v>771</v>
      </c>
      <c r="F3" s="4">
        <v>2.8</v>
      </c>
      <c r="G3" s="4" t="s">
        <v>772</v>
      </c>
      <c r="H3" s="4" t="s">
        <v>773</v>
      </c>
      <c r="I3" s="4" t="s">
        <v>442</v>
      </c>
    </row>
    <row r="4" spans="1:9">
      <c r="A4" s="4" t="s">
        <v>774</v>
      </c>
      <c r="B4" s="4" t="s">
        <v>775</v>
      </c>
      <c r="C4" s="4" t="s">
        <v>776</v>
      </c>
      <c r="D4" s="2">
        <v>43793</v>
      </c>
      <c r="E4" s="12" t="s">
        <v>777</v>
      </c>
      <c r="F4" s="4">
        <v>1</v>
      </c>
      <c r="G4" s="4" t="s">
        <v>778</v>
      </c>
      <c r="H4" s="4" t="s">
        <v>779</v>
      </c>
      <c r="I4" s="4" t="s">
        <v>192</v>
      </c>
    </row>
    <row r="5" spans="1:9">
      <c r="A5" s="4" t="s">
        <v>780</v>
      </c>
      <c r="B5" s="4" t="s">
        <v>781</v>
      </c>
      <c r="C5" s="4" t="s">
        <v>782</v>
      </c>
      <c r="D5" s="3">
        <v>42061</v>
      </c>
      <c r="E5" s="12">
        <v>29057</v>
      </c>
      <c r="F5" s="4">
        <v>3.9</v>
      </c>
      <c r="G5" s="4" t="s">
        <v>783</v>
      </c>
      <c r="H5" s="4" t="s">
        <v>784</v>
      </c>
      <c r="I5" s="4" t="s">
        <v>180</v>
      </c>
    </row>
    <row r="6" spans="1:9">
      <c r="A6" s="4" t="s">
        <v>785</v>
      </c>
      <c r="B6" s="4" t="s">
        <v>786</v>
      </c>
      <c r="C6" s="4" t="s">
        <v>787</v>
      </c>
      <c r="D6" s="3">
        <v>44600</v>
      </c>
      <c r="E6" s="12" t="s">
        <v>788</v>
      </c>
      <c r="F6" s="4">
        <v>2.2999999999999998</v>
      </c>
      <c r="G6" s="4" t="s">
        <v>789</v>
      </c>
      <c r="H6" s="4" t="s">
        <v>766</v>
      </c>
      <c r="I6" s="4" t="s">
        <v>207</v>
      </c>
    </row>
    <row r="7" spans="1:9">
      <c r="A7" s="4" t="s">
        <v>790</v>
      </c>
      <c r="B7" s="4" t="s">
        <v>791</v>
      </c>
      <c r="C7" s="4" t="s">
        <v>792</v>
      </c>
      <c r="D7" s="2">
        <v>42176</v>
      </c>
      <c r="E7" s="12">
        <v>78337</v>
      </c>
      <c r="F7" s="4">
        <v>3.9</v>
      </c>
      <c r="G7" s="4" t="s">
        <v>793</v>
      </c>
      <c r="H7" s="4" t="s">
        <v>773</v>
      </c>
      <c r="I7" s="4" t="s">
        <v>122</v>
      </c>
    </row>
    <row r="8" spans="1:9">
      <c r="A8" s="4" t="s">
        <v>794</v>
      </c>
      <c r="B8" s="4" t="s">
        <v>795</v>
      </c>
      <c r="C8" s="4"/>
      <c r="D8" s="2">
        <v>42054</v>
      </c>
      <c r="E8" s="12" t="s">
        <v>796</v>
      </c>
      <c r="F8" s="4">
        <v>3.9</v>
      </c>
      <c r="G8" s="4" t="s">
        <v>797</v>
      </c>
      <c r="H8" s="4" t="s">
        <v>798</v>
      </c>
      <c r="I8" s="4" t="s">
        <v>23</v>
      </c>
    </row>
    <row r="9" spans="1:9">
      <c r="A9" s="4" t="s">
        <v>799</v>
      </c>
      <c r="B9" s="4" t="s">
        <v>800</v>
      </c>
      <c r="C9" s="4" t="s">
        <v>801</v>
      </c>
      <c r="D9" s="2">
        <v>42778</v>
      </c>
      <c r="E9" s="12" t="s">
        <v>802</v>
      </c>
      <c r="F9" s="4">
        <v>1.7</v>
      </c>
      <c r="G9" s="4" t="s">
        <v>803</v>
      </c>
      <c r="H9" s="4" t="s">
        <v>784</v>
      </c>
      <c r="I9" s="4" t="s">
        <v>301</v>
      </c>
    </row>
    <row r="10" spans="1:9">
      <c r="A10" s="4" t="s">
        <v>804</v>
      </c>
      <c r="B10" s="4" t="s">
        <v>805</v>
      </c>
      <c r="C10" s="4" t="s">
        <v>806</v>
      </c>
      <c r="D10" s="2">
        <v>42814</v>
      </c>
      <c r="E10" s="12" t="s">
        <v>807</v>
      </c>
      <c r="F10" s="4">
        <v>1.2</v>
      </c>
      <c r="G10" s="4"/>
      <c r="H10" s="4" t="s">
        <v>766</v>
      </c>
      <c r="I10" s="4" t="s">
        <v>98</v>
      </c>
    </row>
    <row r="11" spans="1:9">
      <c r="A11" s="4" t="s">
        <v>808</v>
      </c>
      <c r="B11" s="4" t="s">
        <v>809</v>
      </c>
      <c r="C11" s="4"/>
      <c r="D11" s="1" t="s">
        <v>810</v>
      </c>
      <c r="E11" s="12" t="s">
        <v>811</v>
      </c>
      <c r="F11" s="4">
        <v>2.4</v>
      </c>
      <c r="G11" s="4" t="s">
        <v>812</v>
      </c>
      <c r="H11" s="4" t="s">
        <v>784</v>
      </c>
      <c r="I11" s="4" t="s">
        <v>40</v>
      </c>
    </row>
    <row r="12" spans="1:9">
      <c r="A12" s="4" t="s">
        <v>813</v>
      </c>
      <c r="B12" s="4" t="s">
        <v>814</v>
      </c>
      <c r="C12" s="4" t="s">
        <v>815</v>
      </c>
      <c r="D12" s="2">
        <v>42090</v>
      </c>
      <c r="E12" s="12" t="s">
        <v>816</v>
      </c>
      <c r="F12" s="4">
        <v>2.5</v>
      </c>
      <c r="G12" s="4" t="s">
        <v>817</v>
      </c>
      <c r="H12" s="4" t="s">
        <v>773</v>
      </c>
      <c r="I12" s="4" t="s">
        <v>149</v>
      </c>
    </row>
    <row r="13" spans="1:9">
      <c r="A13" s="4" t="s">
        <v>818</v>
      </c>
      <c r="B13" s="4" t="s">
        <v>819</v>
      </c>
      <c r="C13" s="4" t="s">
        <v>782</v>
      </c>
      <c r="D13" s="2">
        <v>43301</v>
      </c>
      <c r="E13" s="12" t="s">
        <v>820</v>
      </c>
      <c r="F13" s="4">
        <v>3.9</v>
      </c>
      <c r="G13" s="4" t="s">
        <v>821</v>
      </c>
      <c r="H13" s="4" t="s">
        <v>798</v>
      </c>
      <c r="I13" s="4" t="s">
        <v>146</v>
      </c>
    </row>
    <row r="14" spans="1:9">
      <c r="A14" s="4" t="s">
        <v>822</v>
      </c>
      <c r="B14" s="4" t="s">
        <v>823</v>
      </c>
      <c r="C14" s="4" t="s">
        <v>806</v>
      </c>
      <c r="D14" s="2">
        <v>43679</v>
      </c>
      <c r="E14" s="12" t="s">
        <v>824</v>
      </c>
      <c r="F14" s="4">
        <v>2.8</v>
      </c>
      <c r="G14" s="4" t="s">
        <v>825</v>
      </c>
      <c r="H14" s="4" t="s">
        <v>766</v>
      </c>
      <c r="I14" s="4" t="s">
        <v>442</v>
      </c>
    </row>
    <row r="15" spans="1:9">
      <c r="A15" s="4" t="s">
        <v>826</v>
      </c>
      <c r="B15" s="4" t="s">
        <v>827</v>
      </c>
      <c r="C15" s="4" t="s">
        <v>828</v>
      </c>
      <c r="D15" s="3">
        <v>42736</v>
      </c>
      <c r="E15" s="12" t="s">
        <v>829</v>
      </c>
      <c r="F15" s="4">
        <v>4.7</v>
      </c>
      <c r="G15" s="4" t="s">
        <v>830</v>
      </c>
      <c r="H15" s="4" t="s">
        <v>784</v>
      </c>
      <c r="I15" s="4" t="s">
        <v>40</v>
      </c>
    </row>
    <row r="16" spans="1:9">
      <c r="A16" s="4" t="s">
        <v>831</v>
      </c>
      <c r="B16" s="4" t="s">
        <v>832</v>
      </c>
      <c r="C16" s="4" t="s">
        <v>833</v>
      </c>
      <c r="D16" s="2">
        <v>44748</v>
      </c>
      <c r="E16" s="12" t="s">
        <v>834</v>
      </c>
      <c r="F16" s="4">
        <v>4.7</v>
      </c>
      <c r="G16" s="4" t="s">
        <v>835</v>
      </c>
      <c r="H16" s="4" t="s">
        <v>766</v>
      </c>
      <c r="I16" s="4" t="s">
        <v>122</v>
      </c>
    </row>
    <row r="17" spans="1:9">
      <c r="A17" s="4" t="s">
        <v>836</v>
      </c>
      <c r="B17" s="4" t="s">
        <v>837</v>
      </c>
      <c r="C17" s="4" t="s">
        <v>838</v>
      </c>
      <c r="D17" s="3">
        <v>42380</v>
      </c>
      <c r="E17" s="12" t="s">
        <v>839</v>
      </c>
      <c r="F17" s="4">
        <v>1.4</v>
      </c>
      <c r="G17" s="4" t="s">
        <v>840</v>
      </c>
      <c r="H17" s="4" t="s">
        <v>779</v>
      </c>
      <c r="I17" s="4" t="s">
        <v>149</v>
      </c>
    </row>
    <row r="18" spans="1:9">
      <c r="A18" s="4" t="s">
        <v>841</v>
      </c>
      <c r="B18" s="4" t="s">
        <v>842</v>
      </c>
      <c r="C18" s="4" t="s">
        <v>792</v>
      </c>
      <c r="D18" s="2">
        <v>42770</v>
      </c>
      <c r="E18" s="12" t="s">
        <v>843</v>
      </c>
      <c r="F18" s="4">
        <v>3.8</v>
      </c>
      <c r="G18" s="4" t="s">
        <v>844</v>
      </c>
      <c r="H18" s="4" t="s">
        <v>766</v>
      </c>
      <c r="I18" s="4" t="s">
        <v>159</v>
      </c>
    </row>
    <row r="19" spans="1:9">
      <c r="A19" s="4" t="s">
        <v>845</v>
      </c>
      <c r="B19" s="4" t="s">
        <v>846</v>
      </c>
      <c r="C19" s="4" t="s">
        <v>847</v>
      </c>
      <c r="D19" s="3">
        <v>43189</v>
      </c>
      <c r="E19" s="12" t="s">
        <v>848</v>
      </c>
      <c r="F19" s="4">
        <v>2.8</v>
      </c>
      <c r="G19" s="4"/>
      <c r="H19" s="4" t="s">
        <v>779</v>
      </c>
      <c r="I19" s="4" t="s">
        <v>357</v>
      </c>
    </row>
    <row r="20" spans="1:9">
      <c r="A20" s="4" t="s">
        <v>849</v>
      </c>
      <c r="B20" s="4" t="s">
        <v>850</v>
      </c>
      <c r="C20" s="4" t="s">
        <v>847</v>
      </c>
      <c r="D20" s="2">
        <v>44269</v>
      </c>
      <c r="E20" s="12" t="s">
        <v>851</v>
      </c>
      <c r="F20" s="4">
        <v>3</v>
      </c>
      <c r="G20" s="4" t="s">
        <v>852</v>
      </c>
      <c r="H20" s="4" t="s">
        <v>773</v>
      </c>
      <c r="I20" s="4" t="s">
        <v>223</v>
      </c>
    </row>
    <row r="21" spans="1:9">
      <c r="A21" s="4" t="s">
        <v>853</v>
      </c>
      <c r="B21" s="4" t="s">
        <v>854</v>
      </c>
      <c r="C21" s="4" t="s">
        <v>855</v>
      </c>
      <c r="D21" s="1" t="s">
        <v>856</v>
      </c>
      <c r="E21" s="12" t="s">
        <v>857</v>
      </c>
      <c r="F21" s="4">
        <v>1.5</v>
      </c>
      <c r="G21" s="4" t="s">
        <v>858</v>
      </c>
      <c r="H21" s="4" t="s">
        <v>798</v>
      </c>
      <c r="I21" s="4" t="s">
        <v>23</v>
      </c>
    </row>
    <row r="22" spans="1:9">
      <c r="A22" s="4" t="s">
        <v>859</v>
      </c>
      <c r="B22" s="4" t="s">
        <v>860</v>
      </c>
      <c r="C22" s="4" t="s">
        <v>861</v>
      </c>
      <c r="D22" s="2">
        <v>42392</v>
      </c>
      <c r="E22" s="12" t="s">
        <v>862</v>
      </c>
      <c r="F22" s="4">
        <v>1</v>
      </c>
      <c r="G22" s="4" t="s">
        <v>863</v>
      </c>
      <c r="H22" s="4" t="s">
        <v>798</v>
      </c>
      <c r="I22" s="4" t="s">
        <v>76</v>
      </c>
    </row>
    <row r="23" spans="1:9">
      <c r="A23" s="4" t="s">
        <v>864</v>
      </c>
      <c r="B23" s="4" t="s">
        <v>865</v>
      </c>
      <c r="C23" s="4" t="s">
        <v>866</v>
      </c>
      <c r="D23" s="2">
        <v>44941</v>
      </c>
      <c r="E23" s="12" t="s">
        <v>867</v>
      </c>
      <c r="F23" s="4">
        <v>2.4</v>
      </c>
      <c r="G23" s="4" t="s">
        <v>868</v>
      </c>
      <c r="H23" s="4" t="s">
        <v>779</v>
      </c>
      <c r="I23" s="4" t="s">
        <v>53</v>
      </c>
    </row>
    <row r="24" spans="1:9">
      <c r="A24" s="4" t="s">
        <v>869</v>
      </c>
      <c r="B24" s="4" t="s">
        <v>870</v>
      </c>
      <c r="C24" s="4" t="s">
        <v>871</v>
      </c>
      <c r="D24" s="2">
        <v>43259</v>
      </c>
      <c r="E24" s="12" t="s">
        <v>872</v>
      </c>
      <c r="F24" s="4">
        <v>1.5</v>
      </c>
      <c r="G24" s="4" t="s">
        <v>873</v>
      </c>
      <c r="H24" s="4" t="s">
        <v>779</v>
      </c>
      <c r="I24" s="4" t="s">
        <v>71</v>
      </c>
    </row>
    <row r="25" spans="1:9">
      <c r="A25" s="4" t="s">
        <v>874</v>
      </c>
      <c r="B25" s="4" t="s">
        <v>875</v>
      </c>
      <c r="C25" s="4" t="s">
        <v>876</v>
      </c>
      <c r="D25" s="3">
        <v>43454</v>
      </c>
      <c r="E25" s="12">
        <v>33140</v>
      </c>
      <c r="F25" s="4">
        <v>3.9</v>
      </c>
      <c r="G25" s="4" t="s">
        <v>877</v>
      </c>
      <c r="H25" s="4" t="s">
        <v>798</v>
      </c>
      <c r="I25" s="4" t="s">
        <v>122</v>
      </c>
    </row>
    <row r="26" spans="1:9">
      <c r="A26" s="4" t="s">
        <v>878</v>
      </c>
      <c r="B26" s="4" t="s">
        <v>879</v>
      </c>
      <c r="C26" s="4" t="s">
        <v>815</v>
      </c>
      <c r="D26" s="2">
        <v>44420</v>
      </c>
      <c r="E26" s="12" t="s">
        <v>880</v>
      </c>
      <c r="F26" s="4">
        <v>2.7</v>
      </c>
      <c r="G26" s="4" t="s">
        <v>881</v>
      </c>
      <c r="H26" s="4" t="s">
        <v>798</v>
      </c>
      <c r="I26" s="4" t="s">
        <v>223</v>
      </c>
    </row>
    <row r="27" spans="1:9">
      <c r="A27" s="4" t="s">
        <v>882</v>
      </c>
      <c r="B27" s="4" t="s">
        <v>883</v>
      </c>
      <c r="C27" s="4" t="s">
        <v>884</v>
      </c>
      <c r="D27" s="3">
        <v>43464</v>
      </c>
      <c r="E27" s="12" t="s">
        <v>885</v>
      </c>
      <c r="F27" s="4">
        <v>2.7</v>
      </c>
      <c r="G27" s="4" t="s">
        <v>886</v>
      </c>
      <c r="H27" s="4" t="s">
        <v>798</v>
      </c>
      <c r="I27" s="4" t="s">
        <v>301</v>
      </c>
    </row>
    <row r="28" spans="1:9">
      <c r="A28" s="4" t="s">
        <v>887</v>
      </c>
      <c r="B28" s="4" t="s">
        <v>888</v>
      </c>
      <c r="C28" s="4" t="s">
        <v>889</v>
      </c>
      <c r="D28" s="2">
        <v>42144</v>
      </c>
      <c r="E28" s="12" t="s">
        <v>890</v>
      </c>
      <c r="F28" s="4">
        <v>2.2000000000000002</v>
      </c>
      <c r="G28" s="4" t="s">
        <v>891</v>
      </c>
      <c r="H28" s="4" t="s">
        <v>773</v>
      </c>
      <c r="I28" s="4" t="s">
        <v>116</v>
      </c>
    </row>
    <row r="29" spans="1:9">
      <c r="A29" s="4" t="s">
        <v>892</v>
      </c>
      <c r="B29" s="4" t="s">
        <v>893</v>
      </c>
      <c r="C29" s="4" t="s">
        <v>855</v>
      </c>
      <c r="D29" s="2">
        <v>43478</v>
      </c>
      <c r="E29" s="12" t="s">
        <v>894</v>
      </c>
      <c r="F29" s="4">
        <v>2.2000000000000002</v>
      </c>
      <c r="G29" s="4" t="s">
        <v>895</v>
      </c>
      <c r="H29" s="4" t="s">
        <v>798</v>
      </c>
      <c r="I29" s="4" t="s">
        <v>442</v>
      </c>
    </row>
    <row r="30" spans="1:9">
      <c r="A30" s="4" t="s">
        <v>896</v>
      </c>
      <c r="B30" s="4" t="s">
        <v>897</v>
      </c>
      <c r="C30" s="4" t="s">
        <v>884</v>
      </c>
      <c r="D30" s="2">
        <v>42662</v>
      </c>
      <c r="E30" s="12" t="s">
        <v>898</v>
      </c>
      <c r="F30" s="4">
        <v>1.2</v>
      </c>
      <c r="G30" s="4" t="s">
        <v>899</v>
      </c>
      <c r="H30" s="4" t="s">
        <v>798</v>
      </c>
      <c r="I30" s="4" t="s">
        <v>442</v>
      </c>
    </row>
    <row r="31" spans="1:9">
      <c r="A31" s="4" t="s">
        <v>900</v>
      </c>
      <c r="B31" s="4" t="s">
        <v>901</v>
      </c>
      <c r="C31" s="4"/>
      <c r="D31" s="2">
        <v>43685</v>
      </c>
      <c r="E31" s="12"/>
      <c r="F31" s="4">
        <v>1.8</v>
      </c>
      <c r="G31" s="4" t="s">
        <v>902</v>
      </c>
      <c r="H31" s="4" t="s">
        <v>784</v>
      </c>
      <c r="I31" s="4" t="s">
        <v>65</v>
      </c>
    </row>
    <row r="32" spans="1:9">
      <c r="A32" s="4" t="s">
        <v>903</v>
      </c>
      <c r="B32" s="4" t="s">
        <v>904</v>
      </c>
      <c r="C32" s="4" t="s">
        <v>806</v>
      </c>
      <c r="D32" s="2">
        <v>45262</v>
      </c>
      <c r="E32" s="12" t="s">
        <v>905</v>
      </c>
      <c r="F32" s="4">
        <v>4.5</v>
      </c>
      <c r="G32" s="4"/>
      <c r="H32" s="4" t="s">
        <v>779</v>
      </c>
      <c r="I32" s="4" t="s">
        <v>357</v>
      </c>
    </row>
    <row r="33" spans="1:9">
      <c r="A33" s="4" t="s">
        <v>906</v>
      </c>
      <c r="B33" s="4" t="s">
        <v>907</v>
      </c>
      <c r="C33" s="4" t="s">
        <v>871</v>
      </c>
      <c r="D33" s="2">
        <v>42887</v>
      </c>
      <c r="E33" s="12" t="s">
        <v>908</v>
      </c>
      <c r="F33" s="4">
        <v>1.9</v>
      </c>
      <c r="G33" s="4" t="s">
        <v>909</v>
      </c>
      <c r="H33" s="4" t="s">
        <v>773</v>
      </c>
      <c r="I33" s="4" t="s">
        <v>83</v>
      </c>
    </row>
    <row r="34" spans="1:9">
      <c r="A34" s="4" t="s">
        <v>910</v>
      </c>
      <c r="B34" s="4" t="s">
        <v>911</v>
      </c>
      <c r="C34" s="4" t="s">
        <v>912</v>
      </c>
      <c r="D34" s="2">
        <v>44989</v>
      </c>
      <c r="E34" s="12">
        <v>60847</v>
      </c>
      <c r="F34" s="4">
        <v>1.5</v>
      </c>
      <c r="G34" s="4" t="s">
        <v>913</v>
      </c>
      <c r="H34" s="4" t="s">
        <v>784</v>
      </c>
      <c r="I34" s="4" t="s">
        <v>146</v>
      </c>
    </row>
    <row r="35" spans="1:9">
      <c r="A35" s="4" t="s">
        <v>914</v>
      </c>
      <c r="B35" s="4" t="s">
        <v>915</v>
      </c>
      <c r="C35" s="4" t="s">
        <v>861</v>
      </c>
      <c r="D35" s="1" t="s">
        <v>916</v>
      </c>
      <c r="E35" s="12" t="s">
        <v>917</v>
      </c>
      <c r="F35" s="4">
        <v>2.2000000000000002</v>
      </c>
      <c r="G35" s="4" t="s">
        <v>918</v>
      </c>
      <c r="H35" s="4" t="s">
        <v>773</v>
      </c>
      <c r="I35" s="4" t="s">
        <v>146</v>
      </c>
    </row>
    <row r="36" spans="1:9">
      <c r="A36" s="4" t="s">
        <v>919</v>
      </c>
      <c r="B36" s="4" t="s">
        <v>920</v>
      </c>
      <c r="C36" s="4" t="s">
        <v>792</v>
      </c>
      <c r="D36" s="3">
        <v>44166</v>
      </c>
      <c r="E36" s="12">
        <v>58847</v>
      </c>
      <c r="F36" s="4">
        <v>4.3</v>
      </c>
      <c r="G36" s="4" t="s">
        <v>921</v>
      </c>
      <c r="H36" s="4" t="s">
        <v>766</v>
      </c>
      <c r="I36" s="4" t="s">
        <v>76</v>
      </c>
    </row>
    <row r="37" spans="1:9">
      <c r="A37" s="4" t="s">
        <v>922</v>
      </c>
      <c r="B37" s="4" t="s">
        <v>923</v>
      </c>
      <c r="C37" s="4" t="s">
        <v>838</v>
      </c>
      <c r="D37" s="3">
        <v>43181</v>
      </c>
      <c r="E37" s="12" t="s">
        <v>924</v>
      </c>
      <c r="F37" s="4">
        <v>1.4</v>
      </c>
      <c r="G37" s="4" t="s">
        <v>925</v>
      </c>
      <c r="H37" s="4" t="s">
        <v>798</v>
      </c>
      <c r="I37" s="4" t="s">
        <v>301</v>
      </c>
    </row>
    <row r="38" spans="1:9">
      <c r="A38" s="4" t="s">
        <v>926</v>
      </c>
      <c r="B38" s="4" t="s">
        <v>879</v>
      </c>
      <c r="C38" s="4" t="s">
        <v>847</v>
      </c>
      <c r="D38" s="1" t="s">
        <v>927</v>
      </c>
      <c r="E38" s="12" t="s">
        <v>928</v>
      </c>
      <c r="F38" s="4">
        <v>1.7</v>
      </c>
      <c r="G38" s="4" t="s">
        <v>881</v>
      </c>
      <c r="H38" s="4" t="s">
        <v>773</v>
      </c>
      <c r="I38" s="4" t="s">
        <v>15</v>
      </c>
    </row>
    <row r="39" spans="1:9">
      <c r="A39" s="4" t="s">
        <v>929</v>
      </c>
      <c r="B39" s="4" t="s">
        <v>930</v>
      </c>
      <c r="C39" s="4" t="s">
        <v>782</v>
      </c>
      <c r="D39" s="3">
        <v>44685</v>
      </c>
      <c r="E39" s="12" t="s">
        <v>931</v>
      </c>
      <c r="F39" s="4">
        <v>2.9</v>
      </c>
      <c r="G39" s="4" t="s">
        <v>932</v>
      </c>
      <c r="H39" s="4" t="s">
        <v>766</v>
      </c>
      <c r="I39" s="4" t="s">
        <v>159</v>
      </c>
    </row>
    <row r="40" spans="1:9">
      <c r="A40" s="4" t="s">
        <v>933</v>
      </c>
      <c r="B40" s="4" t="s">
        <v>934</v>
      </c>
      <c r="C40" s="4" t="s">
        <v>776</v>
      </c>
      <c r="D40" s="2">
        <v>44026</v>
      </c>
      <c r="E40" s="12" t="s">
        <v>935</v>
      </c>
      <c r="F40" s="4">
        <v>2</v>
      </c>
      <c r="G40" s="4" t="s">
        <v>936</v>
      </c>
      <c r="H40" s="4" t="s">
        <v>784</v>
      </c>
      <c r="I40" s="4" t="s">
        <v>248</v>
      </c>
    </row>
    <row r="41" spans="1:9">
      <c r="A41" s="4" t="s">
        <v>937</v>
      </c>
      <c r="B41" s="4" t="s">
        <v>938</v>
      </c>
      <c r="C41" s="4" t="s">
        <v>939</v>
      </c>
      <c r="D41" s="2">
        <v>43414</v>
      </c>
      <c r="E41" s="12" t="s">
        <v>940</v>
      </c>
      <c r="F41" s="4">
        <v>1.9</v>
      </c>
      <c r="G41" s="4" t="s">
        <v>941</v>
      </c>
      <c r="H41" s="4" t="s">
        <v>779</v>
      </c>
      <c r="I41" s="4" t="s">
        <v>262</v>
      </c>
    </row>
    <row r="42" spans="1:9">
      <c r="A42" s="4" t="s">
        <v>942</v>
      </c>
      <c r="B42" s="4" t="s">
        <v>943</v>
      </c>
      <c r="C42" s="4" t="s">
        <v>912</v>
      </c>
      <c r="D42" s="2">
        <v>43555</v>
      </c>
      <c r="E42" s="12">
        <v>69282</v>
      </c>
      <c r="F42" s="4">
        <v>1.8</v>
      </c>
      <c r="G42" s="4" t="s">
        <v>944</v>
      </c>
      <c r="H42" s="4" t="s">
        <v>773</v>
      </c>
      <c r="I42" s="4" t="s">
        <v>207</v>
      </c>
    </row>
    <row r="43" spans="1:9">
      <c r="A43" s="4" t="s">
        <v>945</v>
      </c>
      <c r="B43" s="4" t="s">
        <v>946</v>
      </c>
      <c r="C43" s="4" t="s">
        <v>815</v>
      </c>
      <c r="D43" s="2">
        <v>44127</v>
      </c>
      <c r="E43" s="12" t="s">
        <v>947</v>
      </c>
      <c r="F43" s="4">
        <v>2.8</v>
      </c>
      <c r="G43" s="4" t="s">
        <v>948</v>
      </c>
      <c r="H43" s="4" t="s">
        <v>779</v>
      </c>
      <c r="I43" s="4" t="s">
        <v>248</v>
      </c>
    </row>
    <row r="44" spans="1:9">
      <c r="A44" s="4" t="s">
        <v>949</v>
      </c>
      <c r="B44" s="4" t="s">
        <v>950</v>
      </c>
      <c r="C44" s="4" t="s">
        <v>855</v>
      </c>
      <c r="D44" s="2">
        <v>42950</v>
      </c>
      <c r="E44" s="12" t="s">
        <v>951</v>
      </c>
      <c r="F44" s="4">
        <v>3.1</v>
      </c>
      <c r="G44" s="4" t="s">
        <v>952</v>
      </c>
      <c r="H44" s="4" t="s">
        <v>798</v>
      </c>
      <c r="I44" s="4" t="s">
        <v>442</v>
      </c>
    </row>
    <row r="45" spans="1:9">
      <c r="A45" s="4" t="s">
        <v>953</v>
      </c>
      <c r="B45" s="4" t="s">
        <v>954</v>
      </c>
      <c r="C45" s="4" t="s">
        <v>838</v>
      </c>
      <c r="D45" s="2">
        <v>44691</v>
      </c>
      <c r="E45" s="12" t="s">
        <v>955</v>
      </c>
      <c r="F45" s="4">
        <v>2</v>
      </c>
      <c r="G45" s="4" t="s">
        <v>956</v>
      </c>
      <c r="H45" s="4" t="s">
        <v>766</v>
      </c>
      <c r="I45" s="4" t="s">
        <v>301</v>
      </c>
    </row>
    <row r="46" spans="1:9">
      <c r="A46" s="4" t="s">
        <v>957</v>
      </c>
      <c r="B46" s="4" t="s">
        <v>958</v>
      </c>
      <c r="C46" s="4" t="s">
        <v>801</v>
      </c>
      <c r="D46" s="2">
        <v>43975</v>
      </c>
      <c r="E46" s="12" t="s">
        <v>959</v>
      </c>
      <c r="F46" s="4">
        <v>1.8</v>
      </c>
      <c r="G46" s="4" t="s">
        <v>960</v>
      </c>
      <c r="H46" s="4" t="s">
        <v>773</v>
      </c>
      <c r="I46" s="4" t="s">
        <v>149</v>
      </c>
    </row>
    <row r="47" spans="1:9">
      <c r="A47" s="4" t="s">
        <v>961</v>
      </c>
      <c r="B47" s="4" t="s">
        <v>962</v>
      </c>
      <c r="C47" s="4" t="s">
        <v>963</v>
      </c>
      <c r="D47" s="2">
        <v>42286</v>
      </c>
      <c r="E47" s="12" t="s">
        <v>964</v>
      </c>
      <c r="F47" s="4">
        <v>1.5</v>
      </c>
      <c r="G47" s="4" t="s">
        <v>965</v>
      </c>
      <c r="H47" s="4" t="s">
        <v>773</v>
      </c>
      <c r="I47" s="4" t="s">
        <v>110</v>
      </c>
    </row>
    <row r="48" spans="1:9">
      <c r="A48" s="4" t="s">
        <v>966</v>
      </c>
      <c r="B48" s="4" t="s">
        <v>967</v>
      </c>
      <c r="C48" s="4" t="s">
        <v>787</v>
      </c>
      <c r="D48" s="3">
        <v>43851</v>
      </c>
      <c r="E48" s="12">
        <v>66451</v>
      </c>
      <c r="F48" s="4">
        <v>4.2</v>
      </c>
      <c r="G48" s="4" t="s">
        <v>968</v>
      </c>
      <c r="H48" s="4" t="s">
        <v>779</v>
      </c>
      <c r="I48" s="4" t="s">
        <v>71</v>
      </c>
    </row>
    <row r="49" spans="1:9">
      <c r="A49" s="4" t="s">
        <v>969</v>
      </c>
      <c r="B49" s="4" t="s">
        <v>970</v>
      </c>
      <c r="C49" s="4" t="s">
        <v>971</v>
      </c>
      <c r="D49" s="2">
        <v>44695</v>
      </c>
      <c r="E49" s="12">
        <v>70740</v>
      </c>
      <c r="F49" s="4">
        <v>3.4</v>
      </c>
      <c r="G49" s="4" t="s">
        <v>972</v>
      </c>
      <c r="H49" s="4" t="s">
        <v>773</v>
      </c>
      <c r="I49" s="4" t="s">
        <v>149</v>
      </c>
    </row>
    <row r="50" spans="1:9">
      <c r="A50" s="4" t="s">
        <v>973</v>
      </c>
      <c r="B50" s="4" t="s">
        <v>974</v>
      </c>
      <c r="C50" s="4" t="s">
        <v>975</v>
      </c>
      <c r="D50" s="1" t="s">
        <v>976</v>
      </c>
      <c r="E50" s="12" t="s">
        <v>977</v>
      </c>
      <c r="F50" s="4">
        <v>1.9</v>
      </c>
      <c r="G50" s="4"/>
      <c r="H50" s="4" t="s">
        <v>773</v>
      </c>
      <c r="I50" s="4" t="s">
        <v>116</v>
      </c>
    </row>
    <row r="51" spans="1:9">
      <c r="A51" s="4" t="s">
        <v>978</v>
      </c>
      <c r="B51" s="4" t="s">
        <v>979</v>
      </c>
      <c r="C51" s="4" t="s">
        <v>963</v>
      </c>
      <c r="D51" s="2">
        <v>42735</v>
      </c>
      <c r="E51" s="12" t="s">
        <v>980</v>
      </c>
      <c r="F51" s="4">
        <v>4</v>
      </c>
      <c r="G51" s="4" t="s">
        <v>981</v>
      </c>
      <c r="H51" s="4" t="s">
        <v>784</v>
      </c>
      <c r="I51" s="4" t="s">
        <v>301</v>
      </c>
    </row>
    <row r="52" spans="1:9">
      <c r="A52" s="4" t="s">
        <v>982</v>
      </c>
      <c r="B52" s="4" t="s">
        <v>983</v>
      </c>
      <c r="C52" s="4" t="s">
        <v>833</v>
      </c>
      <c r="D52" s="1" t="s">
        <v>984</v>
      </c>
      <c r="E52" s="12" t="s">
        <v>985</v>
      </c>
      <c r="F52" s="4">
        <v>3.1</v>
      </c>
      <c r="G52" s="4"/>
      <c r="H52" s="4" t="s">
        <v>784</v>
      </c>
      <c r="I52" s="4" t="s">
        <v>116</v>
      </c>
    </row>
    <row r="53" spans="1:9">
      <c r="A53" s="4" t="s">
        <v>986</v>
      </c>
      <c r="B53" s="4" t="s">
        <v>987</v>
      </c>
      <c r="C53" s="4" t="s">
        <v>787</v>
      </c>
      <c r="D53" s="2">
        <v>43498</v>
      </c>
      <c r="E53" s="12" t="s">
        <v>988</v>
      </c>
      <c r="F53" s="4">
        <v>4</v>
      </c>
      <c r="G53" s="4" t="s">
        <v>989</v>
      </c>
      <c r="H53" s="4" t="s">
        <v>798</v>
      </c>
      <c r="I53" s="4" t="s">
        <v>116</v>
      </c>
    </row>
    <row r="54" spans="1:9">
      <c r="A54" s="4" t="s">
        <v>990</v>
      </c>
      <c r="B54" s="4" t="s">
        <v>991</v>
      </c>
      <c r="C54" s="4" t="s">
        <v>787</v>
      </c>
      <c r="D54" s="1" t="s">
        <v>992</v>
      </c>
      <c r="E54" s="12" t="s">
        <v>993</v>
      </c>
      <c r="F54" s="4">
        <v>2.9</v>
      </c>
      <c r="G54" s="4" t="s">
        <v>994</v>
      </c>
      <c r="H54" s="4" t="s">
        <v>779</v>
      </c>
      <c r="I54" s="4" t="s">
        <v>357</v>
      </c>
    </row>
    <row r="55" spans="1:9">
      <c r="A55" s="4" t="s">
        <v>995</v>
      </c>
      <c r="B55" s="4" t="s">
        <v>996</v>
      </c>
      <c r="C55" s="4" t="s">
        <v>997</v>
      </c>
      <c r="D55" s="2">
        <v>44034</v>
      </c>
      <c r="E55" s="12" t="s">
        <v>998</v>
      </c>
      <c r="F55" s="4">
        <v>3.7</v>
      </c>
      <c r="G55" s="4" t="s">
        <v>999</v>
      </c>
      <c r="H55" s="4" t="s">
        <v>766</v>
      </c>
      <c r="I55" s="4" t="s">
        <v>223</v>
      </c>
    </row>
    <row r="56" spans="1:9">
      <c r="A56" s="4" t="s">
        <v>1000</v>
      </c>
      <c r="B56" s="4" t="s">
        <v>1001</v>
      </c>
      <c r="C56" s="4" t="s">
        <v>838</v>
      </c>
      <c r="D56" s="1" t="s">
        <v>1002</v>
      </c>
      <c r="E56" s="12" t="s">
        <v>1003</v>
      </c>
      <c r="F56" s="4">
        <v>2.9</v>
      </c>
      <c r="G56" s="4" t="s">
        <v>1004</v>
      </c>
      <c r="H56" s="4" t="s">
        <v>766</v>
      </c>
      <c r="I56" s="4" t="s">
        <v>87</v>
      </c>
    </row>
    <row r="57" spans="1:9">
      <c r="A57" s="4" t="s">
        <v>1005</v>
      </c>
      <c r="B57" s="4" t="s">
        <v>1006</v>
      </c>
      <c r="C57" s="4" t="s">
        <v>782</v>
      </c>
      <c r="D57" s="1" t="s">
        <v>528</v>
      </c>
      <c r="E57" s="12" t="s">
        <v>1007</v>
      </c>
      <c r="F57" s="4">
        <v>3.8</v>
      </c>
      <c r="G57" s="4" t="s">
        <v>1008</v>
      </c>
      <c r="H57" s="4" t="s">
        <v>798</v>
      </c>
      <c r="I57" s="4" t="s">
        <v>154</v>
      </c>
    </row>
    <row r="58" spans="1:9">
      <c r="A58" s="4" t="s">
        <v>1009</v>
      </c>
      <c r="B58" s="4" t="s">
        <v>1010</v>
      </c>
      <c r="C58" s="4" t="s">
        <v>912</v>
      </c>
      <c r="D58" s="2">
        <v>44299</v>
      </c>
      <c r="E58" s="12" t="s">
        <v>1011</v>
      </c>
      <c r="F58" s="4">
        <v>2.2000000000000002</v>
      </c>
      <c r="G58" s="4" t="s">
        <v>1012</v>
      </c>
      <c r="H58" s="4" t="s">
        <v>766</v>
      </c>
      <c r="I58" s="4" t="s">
        <v>53</v>
      </c>
    </row>
    <row r="59" spans="1:9">
      <c r="A59" s="4" t="s">
        <v>1013</v>
      </c>
      <c r="B59" s="4" t="s">
        <v>1014</v>
      </c>
      <c r="C59" s="4" t="s">
        <v>787</v>
      </c>
      <c r="D59" s="1" t="s">
        <v>1015</v>
      </c>
      <c r="E59" s="12" t="s">
        <v>1016</v>
      </c>
      <c r="F59" s="4">
        <v>1.7</v>
      </c>
      <c r="G59" s="4" t="s">
        <v>1017</v>
      </c>
      <c r="H59" s="4" t="s">
        <v>773</v>
      </c>
      <c r="I59" s="4" t="s">
        <v>180</v>
      </c>
    </row>
    <row r="60" spans="1:9">
      <c r="A60" s="4" t="s">
        <v>1018</v>
      </c>
      <c r="B60" s="4" t="s">
        <v>1019</v>
      </c>
      <c r="C60" s="4" t="s">
        <v>884</v>
      </c>
      <c r="D60" s="2">
        <v>42792</v>
      </c>
      <c r="E60" s="12" t="s">
        <v>1020</v>
      </c>
      <c r="F60" s="4">
        <v>3.2</v>
      </c>
      <c r="G60" s="4" t="s">
        <v>1021</v>
      </c>
      <c r="H60" s="4" t="s">
        <v>773</v>
      </c>
      <c r="I60" s="4" t="s">
        <v>180</v>
      </c>
    </row>
    <row r="61" spans="1:9">
      <c r="A61" s="4" t="s">
        <v>1022</v>
      </c>
      <c r="B61" s="4" t="s">
        <v>1023</v>
      </c>
      <c r="C61" s="4" t="s">
        <v>871</v>
      </c>
      <c r="D61" s="2">
        <v>42335</v>
      </c>
      <c r="E61" s="12" t="s">
        <v>1024</v>
      </c>
      <c r="F61" s="4">
        <v>1.3</v>
      </c>
      <c r="G61" s="4" t="s">
        <v>1025</v>
      </c>
      <c r="H61" s="4" t="s">
        <v>798</v>
      </c>
      <c r="I61" s="4" t="s">
        <v>357</v>
      </c>
    </row>
    <row r="62" spans="1:9">
      <c r="A62" s="4" t="s">
        <v>1026</v>
      </c>
      <c r="B62" s="4" t="s">
        <v>1027</v>
      </c>
      <c r="C62" s="4" t="s">
        <v>801</v>
      </c>
      <c r="D62" s="2">
        <v>43406</v>
      </c>
      <c r="E62" s="12" t="s">
        <v>1028</v>
      </c>
      <c r="F62" s="4">
        <v>4.3</v>
      </c>
      <c r="G62" s="4" t="s">
        <v>1029</v>
      </c>
      <c r="H62" s="4" t="s">
        <v>779</v>
      </c>
      <c r="I62" s="4" t="s">
        <v>15</v>
      </c>
    </row>
    <row r="63" spans="1:9">
      <c r="A63" s="4" t="s">
        <v>1030</v>
      </c>
      <c r="B63" s="4" t="s">
        <v>1031</v>
      </c>
      <c r="C63" s="4" t="s">
        <v>855</v>
      </c>
      <c r="D63" s="1" t="s">
        <v>1032</v>
      </c>
      <c r="E63" s="12" t="s">
        <v>1033</v>
      </c>
      <c r="F63" s="4">
        <v>2.9</v>
      </c>
      <c r="G63" s="4" t="s">
        <v>1034</v>
      </c>
      <c r="H63" s="4" t="s">
        <v>773</v>
      </c>
      <c r="I63" s="4" t="s">
        <v>149</v>
      </c>
    </row>
    <row r="64" spans="1:9">
      <c r="A64" s="4" t="s">
        <v>1035</v>
      </c>
      <c r="B64" s="4" t="s">
        <v>274</v>
      </c>
      <c r="C64" s="4" t="s">
        <v>884</v>
      </c>
      <c r="D64" s="2">
        <v>44592</v>
      </c>
      <c r="E64" s="12" t="s">
        <v>1036</v>
      </c>
      <c r="F64" s="4">
        <v>2</v>
      </c>
      <c r="G64" s="4" t="s">
        <v>1037</v>
      </c>
      <c r="H64" s="4" t="s">
        <v>784</v>
      </c>
      <c r="I64" s="4" t="s">
        <v>76</v>
      </c>
    </row>
    <row r="65" spans="1:9">
      <c r="A65" s="4" t="s">
        <v>1038</v>
      </c>
      <c r="B65" s="4" t="s">
        <v>1039</v>
      </c>
      <c r="C65" s="4" t="s">
        <v>889</v>
      </c>
      <c r="D65" s="2">
        <v>44422</v>
      </c>
      <c r="E65" s="12" t="s">
        <v>1040</v>
      </c>
      <c r="F65" s="4">
        <v>2.2000000000000002</v>
      </c>
      <c r="G65" s="4" t="s">
        <v>1041</v>
      </c>
      <c r="H65" s="4" t="s">
        <v>766</v>
      </c>
      <c r="I65" s="4" t="s">
        <v>248</v>
      </c>
    </row>
    <row r="66" spans="1:9">
      <c r="A66" s="4" t="s">
        <v>1042</v>
      </c>
      <c r="B66" s="4" t="s">
        <v>1043</v>
      </c>
      <c r="C66" s="4" t="s">
        <v>763</v>
      </c>
      <c r="D66" s="3">
        <v>42238</v>
      </c>
      <c r="E66" s="12" t="s">
        <v>1044</v>
      </c>
      <c r="F66" s="4">
        <v>4.5</v>
      </c>
      <c r="G66" s="4" t="s">
        <v>1045</v>
      </c>
      <c r="H66" s="4" t="s">
        <v>766</v>
      </c>
      <c r="I66" s="4" t="s">
        <v>154</v>
      </c>
    </row>
    <row r="67" spans="1:9">
      <c r="A67" s="4" t="s">
        <v>1046</v>
      </c>
      <c r="B67" s="4" t="s">
        <v>795</v>
      </c>
      <c r="C67" s="4" t="s">
        <v>833</v>
      </c>
      <c r="D67" s="1" t="s">
        <v>1047</v>
      </c>
      <c r="E67" s="12" t="s">
        <v>1048</v>
      </c>
      <c r="F67" s="4">
        <v>3.9</v>
      </c>
      <c r="G67" s="4" t="s">
        <v>797</v>
      </c>
      <c r="H67" s="4" t="s">
        <v>798</v>
      </c>
      <c r="I67" s="4" t="s">
        <v>442</v>
      </c>
    </row>
    <row r="68" spans="1:9">
      <c r="A68" s="4" t="s">
        <v>1049</v>
      </c>
      <c r="B68" s="4" t="s">
        <v>1050</v>
      </c>
      <c r="C68" s="4" t="s">
        <v>838</v>
      </c>
      <c r="D68" s="1" t="s">
        <v>1051</v>
      </c>
      <c r="E68" s="12" t="s">
        <v>1052</v>
      </c>
      <c r="F68" s="4">
        <v>4.9000000000000004</v>
      </c>
      <c r="G68" s="4"/>
      <c r="H68" s="4" t="s">
        <v>766</v>
      </c>
      <c r="I68" s="4" t="s">
        <v>23</v>
      </c>
    </row>
    <row r="69" spans="1:9">
      <c r="A69" s="4" t="s">
        <v>1053</v>
      </c>
      <c r="B69" s="4" t="s">
        <v>1054</v>
      </c>
      <c r="C69" s="4" t="s">
        <v>847</v>
      </c>
      <c r="D69" s="2">
        <v>42752</v>
      </c>
      <c r="E69" s="12" t="s">
        <v>1055</v>
      </c>
      <c r="F69" s="4">
        <v>1.6</v>
      </c>
      <c r="G69" s="4" t="s">
        <v>1056</v>
      </c>
      <c r="H69" s="4" t="s">
        <v>773</v>
      </c>
      <c r="I69" s="4" t="s">
        <v>15</v>
      </c>
    </row>
    <row r="70" spans="1:9">
      <c r="A70" s="4" t="s">
        <v>1057</v>
      </c>
      <c r="B70" s="4" t="s">
        <v>1058</v>
      </c>
      <c r="C70" s="4" t="s">
        <v>963</v>
      </c>
      <c r="D70" s="1" t="s">
        <v>1059</v>
      </c>
      <c r="E70" s="12" t="s">
        <v>1060</v>
      </c>
      <c r="F70" s="4">
        <v>2.9</v>
      </c>
      <c r="G70" s="4" t="s">
        <v>1061</v>
      </c>
      <c r="H70" s="4" t="s">
        <v>779</v>
      </c>
      <c r="I70" s="4" t="s">
        <v>412</v>
      </c>
    </row>
    <row r="71" spans="1:9">
      <c r="A71" s="4" t="s">
        <v>1062</v>
      </c>
      <c r="B71" s="4" t="s">
        <v>343</v>
      </c>
      <c r="C71" s="4" t="s">
        <v>975</v>
      </c>
      <c r="D71" s="1" t="s">
        <v>1063</v>
      </c>
      <c r="E71" s="12" t="s">
        <v>1064</v>
      </c>
      <c r="F71" s="4">
        <v>2.4</v>
      </c>
      <c r="G71" s="4" t="s">
        <v>1065</v>
      </c>
      <c r="H71" s="4" t="s">
        <v>784</v>
      </c>
      <c r="I71" s="4" t="s">
        <v>40</v>
      </c>
    </row>
    <row r="72" spans="1:9">
      <c r="A72" s="4" t="s">
        <v>1066</v>
      </c>
      <c r="B72" s="4" t="s">
        <v>1067</v>
      </c>
      <c r="C72" s="4" t="s">
        <v>847</v>
      </c>
      <c r="D72" s="2">
        <v>43615</v>
      </c>
      <c r="E72" s="12" t="s">
        <v>1068</v>
      </c>
      <c r="F72" s="4">
        <v>3.6</v>
      </c>
      <c r="G72" s="4" t="s">
        <v>1069</v>
      </c>
      <c r="H72" s="4" t="s">
        <v>779</v>
      </c>
      <c r="I72" s="4" t="s">
        <v>442</v>
      </c>
    </row>
    <row r="73" spans="1:9">
      <c r="A73" s="4" t="s">
        <v>1070</v>
      </c>
      <c r="B73" s="4" t="s">
        <v>1071</v>
      </c>
      <c r="C73" s="4" t="s">
        <v>776</v>
      </c>
      <c r="D73" s="1" t="s">
        <v>1072</v>
      </c>
      <c r="E73" s="12" t="s">
        <v>1073</v>
      </c>
      <c r="F73" s="4">
        <v>1.2</v>
      </c>
      <c r="G73" s="4" t="s">
        <v>1074</v>
      </c>
      <c r="H73" s="4" t="s">
        <v>798</v>
      </c>
      <c r="I73" s="4" t="s">
        <v>192</v>
      </c>
    </row>
    <row r="74" spans="1:9">
      <c r="A74" s="4" t="s">
        <v>1075</v>
      </c>
      <c r="B74" s="4" t="s">
        <v>1076</v>
      </c>
      <c r="C74" s="4" t="s">
        <v>769</v>
      </c>
      <c r="D74" s="2">
        <v>44676</v>
      </c>
      <c r="E74" s="12" t="s">
        <v>1077</v>
      </c>
      <c r="F74" s="4">
        <v>4.9000000000000004</v>
      </c>
      <c r="G74" s="4" t="s">
        <v>1078</v>
      </c>
      <c r="H74" s="4" t="s">
        <v>779</v>
      </c>
      <c r="I74" s="4" t="s">
        <v>83</v>
      </c>
    </row>
    <row r="75" spans="1:9">
      <c r="A75" s="4" t="s">
        <v>1079</v>
      </c>
      <c r="B75" s="4" t="s">
        <v>1080</v>
      </c>
      <c r="C75" s="4" t="s">
        <v>997</v>
      </c>
      <c r="D75" s="2">
        <v>44187</v>
      </c>
      <c r="E75" s="12" t="s">
        <v>1081</v>
      </c>
      <c r="F75" s="4">
        <v>2.4</v>
      </c>
      <c r="G75" s="4" t="s">
        <v>1082</v>
      </c>
      <c r="H75" s="4" t="s">
        <v>779</v>
      </c>
      <c r="I75" s="4" t="s">
        <v>180</v>
      </c>
    </row>
    <row r="76" spans="1:9">
      <c r="A76" s="4" t="s">
        <v>1083</v>
      </c>
      <c r="B76" s="4" t="s">
        <v>1084</v>
      </c>
      <c r="C76" s="4" t="s">
        <v>792</v>
      </c>
      <c r="D76" s="2">
        <v>42366</v>
      </c>
      <c r="E76" s="12" t="s">
        <v>1085</v>
      </c>
      <c r="F76" s="4">
        <v>2.9</v>
      </c>
      <c r="G76" s="4" t="s">
        <v>1086</v>
      </c>
      <c r="H76" s="4" t="s">
        <v>773</v>
      </c>
      <c r="I76" s="4" t="s">
        <v>15</v>
      </c>
    </row>
    <row r="77" spans="1:9">
      <c r="A77" s="4" t="s">
        <v>1087</v>
      </c>
      <c r="B77" s="4" t="s">
        <v>1088</v>
      </c>
      <c r="C77" s="4" t="s">
        <v>855</v>
      </c>
      <c r="D77" s="1" t="s">
        <v>1089</v>
      </c>
      <c r="E77" s="12" t="s">
        <v>1090</v>
      </c>
      <c r="F77" s="4">
        <v>4.8</v>
      </c>
      <c r="G77" s="4"/>
      <c r="H77" s="4" t="s">
        <v>766</v>
      </c>
      <c r="I77" s="4" t="s">
        <v>357</v>
      </c>
    </row>
    <row r="78" spans="1:9">
      <c r="A78" s="4" t="s">
        <v>1091</v>
      </c>
      <c r="B78" s="4" t="s">
        <v>1092</v>
      </c>
      <c r="C78" s="4" t="s">
        <v>963</v>
      </c>
      <c r="D78" s="2">
        <v>43311</v>
      </c>
      <c r="E78" s="12" t="s">
        <v>1093</v>
      </c>
      <c r="F78" s="4">
        <v>3.2</v>
      </c>
      <c r="G78" s="4"/>
      <c r="H78" s="4" t="s">
        <v>766</v>
      </c>
      <c r="I78" s="4" t="s">
        <v>415</v>
      </c>
    </row>
    <row r="79" spans="1:9">
      <c r="A79" s="4" t="s">
        <v>1094</v>
      </c>
      <c r="B79" s="4" t="s">
        <v>1095</v>
      </c>
      <c r="C79" s="4" t="s">
        <v>782</v>
      </c>
      <c r="D79" s="2">
        <v>42613</v>
      </c>
      <c r="E79" s="12" t="s">
        <v>1096</v>
      </c>
      <c r="F79" s="4">
        <v>4.5999999999999996</v>
      </c>
      <c r="G79" s="4" t="s">
        <v>1097</v>
      </c>
      <c r="H79" s="4" t="s">
        <v>798</v>
      </c>
      <c r="I79" s="4" t="s">
        <v>59</v>
      </c>
    </row>
    <row r="80" spans="1:9">
      <c r="A80" s="4" t="s">
        <v>1098</v>
      </c>
      <c r="B80" s="4" t="s">
        <v>1099</v>
      </c>
      <c r="C80" s="4" t="s">
        <v>815</v>
      </c>
      <c r="D80" s="1" t="s">
        <v>1100</v>
      </c>
      <c r="E80" s="12" t="s">
        <v>1101</v>
      </c>
      <c r="F80" s="4">
        <v>4.4000000000000004</v>
      </c>
      <c r="G80" s="4" t="s">
        <v>1102</v>
      </c>
      <c r="H80" s="4" t="s">
        <v>766</v>
      </c>
      <c r="I80" s="4" t="s">
        <v>149</v>
      </c>
    </row>
    <row r="81" spans="1:9">
      <c r="A81" s="4" t="s">
        <v>1103</v>
      </c>
      <c r="B81" s="4" t="s">
        <v>1104</v>
      </c>
      <c r="C81" s="4" t="s">
        <v>861</v>
      </c>
      <c r="D81" s="1" t="s">
        <v>1105</v>
      </c>
      <c r="E81" s="12" t="s">
        <v>1106</v>
      </c>
      <c r="F81" s="4">
        <v>2.5</v>
      </c>
      <c r="G81" s="4" t="s">
        <v>1107</v>
      </c>
      <c r="H81" s="4" t="s">
        <v>773</v>
      </c>
      <c r="I81" s="4" t="s">
        <v>98</v>
      </c>
    </row>
    <row r="82" spans="1:9">
      <c r="A82" s="4" t="s">
        <v>818</v>
      </c>
      <c r="B82" s="4" t="s">
        <v>819</v>
      </c>
      <c r="C82" s="4" t="s">
        <v>782</v>
      </c>
      <c r="D82" s="2">
        <v>43301</v>
      </c>
      <c r="E82" s="12" t="s">
        <v>820</v>
      </c>
      <c r="F82" s="4">
        <v>3.9</v>
      </c>
      <c r="G82" s="4" t="s">
        <v>821</v>
      </c>
      <c r="H82" s="4" t="s">
        <v>798</v>
      </c>
      <c r="I82" s="4" t="s">
        <v>146</v>
      </c>
    </row>
    <row r="83" spans="1:9">
      <c r="A83" s="4" t="s">
        <v>1046</v>
      </c>
      <c r="B83" s="4" t="s">
        <v>795</v>
      </c>
      <c r="C83" s="4" t="s">
        <v>833</v>
      </c>
      <c r="D83" s="1" t="s">
        <v>1047</v>
      </c>
      <c r="E83" s="12" t="s">
        <v>1048</v>
      </c>
      <c r="F83" s="4">
        <v>3.9</v>
      </c>
      <c r="G83" s="4" t="s">
        <v>797</v>
      </c>
      <c r="H83" s="4" t="s">
        <v>798</v>
      </c>
      <c r="I83" s="4" t="s">
        <v>442</v>
      </c>
    </row>
    <row r="84" spans="1:9">
      <c r="A84" s="4" t="s">
        <v>845</v>
      </c>
      <c r="B84" s="4" t="s">
        <v>846</v>
      </c>
      <c r="C84" s="4" t="s">
        <v>847</v>
      </c>
      <c r="D84" s="3">
        <v>43189</v>
      </c>
      <c r="E84" s="12" t="s">
        <v>848</v>
      </c>
      <c r="F84" s="4">
        <v>2.8</v>
      </c>
      <c r="G84" s="4"/>
      <c r="H84" s="4" t="s">
        <v>779</v>
      </c>
      <c r="I84" s="4" t="s">
        <v>357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7C53-9D83-42E8-8D59-F1D77B813618}">
  <dimension ref="A1:P84"/>
  <sheetViews>
    <sheetView workbookViewId="0">
      <selection activeCell="L7" sqref="L7"/>
    </sheetView>
  </sheetViews>
  <sheetFormatPr defaultRowHeight="15"/>
  <cols>
    <col min="1" max="1" width="12.7109375" bestFit="1" customWidth="1"/>
    <col min="2" max="2" width="17.42578125" bestFit="1" customWidth="1"/>
    <col min="3" max="3" width="19.5703125" bestFit="1" customWidth="1"/>
    <col min="4" max="4" width="14.5703125" customWidth="1"/>
    <col min="5" max="5" width="14" bestFit="1" customWidth="1"/>
    <col min="6" max="6" width="18.140625" bestFit="1" customWidth="1"/>
    <col min="7" max="7" width="30" bestFit="1" customWidth="1"/>
    <col min="8" max="8" width="14.140625" bestFit="1" customWidth="1"/>
    <col min="9" max="9" width="14" bestFit="1" customWidth="1"/>
    <col min="11" max="11" width="11.42578125" bestFit="1" customWidth="1"/>
    <col min="12" max="12" width="19.5703125" style="18" bestFit="1" customWidth="1"/>
    <col min="13" max="15" width="12.140625" style="18" customWidth="1"/>
    <col min="16" max="16" width="16.85546875" style="18" bestFit="1" customWidth="1"/>
  </cols>
  <sheetData>
    <row r="1" spans="1:16">
      <c r="A1" s="4" t="s">
        <v>753</v>
      </c>
      <c r="B1" s="4" t="s">
        <v>754</v>
      </c>
      <c r="C1" s="4" t="s">
        <v>755</v>
      </c>
      <c r="D1" s="4" t="s">
        <v>756</v>
      </c>
      <c r="E1" s="4" t="s">
        <v>757</v>
      </c>
      <c r="F1" s="4" t="s">
        <v>758</v>
      </c>
      <c r="G1" s="4" t="s">
        <v>759</v>
      </c>
      <c r="H1" s="4" t="s">
        <v>760</v>
      </c>
      <c r="I1" s="4" t="s">
        <v>7</v>
      </c>
      <c r="K1" s="19" t="s">
        <v>543</v>
      </c>
      <c r="L1" s="20" t="s">
        <v>1108</v>
      </c>
      <c r="M1" s="69" t="s">
        <v>1109</v>
      </c>
      <c r="N1" s="69"/>
      <c r="O1" s="69"/>
      <c r="P1" s="20" t="s">
        <v>1110</v>
      </c>
    </row>
    <row r="2" spans="1:16">
      <c r="A2" s="4" t="s">
        <v>761</v>
      </c>
      <c r="B2" s="4" t="s">
        <v>1111</v>
      </c>
      <c r="C2" s="4" t="s">
        <v>763</v>
      </c>
      <c r="D2" s="2">
        <v>44396</v>
      </c>
      <c r="E2" s="10">
        <v>33925</v>
      </c>
      <c r="F2" s="4">
        <v>1.2</v>
      </c>
      <c r="G2" s="4" t="s">
        <v>765</v>
      </c>
      <c r="H2" s="4" t="s">
        <v>766</v>
      </c>
      <c r="I2" s="4" t="s">
        <v>357</v>
      </c>
      <c r="K2" s="16"/>
      <c r="L2" s="21" t="str" cm="1">
        <f t="array" ref="L2">_xlfn.IFS(F2&lt;=2,"Poor",F2&lt;3,"Marginal",F2&lt;4,"Good",F2&gt;=4,"Excellent")</f>
        <v>Poor</v>
      </c>
      <c r="M2" s="21" t="str" cm="1">
        <f t="array" ref="M2:O2">_xlfn.XLOOKUP(A2,REF_Employees!A2:A84,REF_Employees!C2:E84)</f>
        <v>Director</v>
      </c>
      <c r="N2" s="21" t="str">
        <v>J. Carter</v>
      </c>
      <c r="O2" s="21" t="str">
        <v>Birmingham</v>
      </c>
      <c r="P2" s="21" t="str">
        <f>VLOOKUP(A2,REF_Employees!A2:D84,4)</f>
        <v>J. Carter</v>
      </c>
    </row>
    <row r="3" spans="1:16">
      <c r="A3" s="4" t="s">
        <v>767</v>
      </c>
      <c r="B3" s="4" t="s">
        <v>1112</v>
      </c>
      <c r="C3" s="4" t="s">
        <v>1113</v>
      </c>
      <c r="D3" s="2">
        <v>44350</v>
      </c>
      <c r="E3" s="10">
        <v>27508</v>
      </c>
      <c r="F3" s="4">
        <v>2.8</v>
      </c>
      <c r="G3" s="4" t="s">
        <v>772</v>
      </c>
      <c r="H3" s="4" t="s">
        <v>773</v>
      </c>
      <c r="I3" s="4" t="s">
        <v>71</v>
      </c>
      <c r="K3" s="16"/>
      <c r="L3" s="21" t="str" cm="1">
        <f t="array" ref="L3">_xlfn.IFS(F3&lt;=2,"Poor",F3&lt;3,"Marginal",F3&lt;4,"Good",F3&gt;=4,"Excellent")</f>
        <v>Marginal</v>
      </c>
      <c r="M3" s="21" t="str" cm="1">
        <f t="array" ref="M3:O3">_xlfn.XLOOKUP(A3,REF_Employees!A3:A82,REF_Employees!C3:E82)</f>
        <v>Senior</v>
      </c>
      <c r="N3" s="21" t="str">
        <v>T. Williams</v>
      </c>
      <c r="O3" s="21" t="str">
        <v>Belfast</v>
      </c>
      <c r="P3" s="21" t="str">
        <f>VLOOKUP(A3,REF_Employees!A3:D85,4)</f>
        <v>T. Williams</v>
      </c>
    </row>
    <row r="4" spans="1:16">
      <c r="A4" s="4" t="s">
        <v>774</v>
      </c>
      <c r="B4" s="4" t="s">
        <v>1114</v>
      </c>
      <c r="C4" s="4" t="s">
        <v>1113</v>
      </c>
      <c r="D4" s="2">
        <v>43793</v>
      </c>
      <c r="E4" s="10">
        <v>57268</v>
      </c>
      <c r="F4" s="4">
        <v>1</v>
      </c>
      <c r="G4" s="4" t="s">
        <v>778</v>
      </c>
      <c r="H4" s="4" t="s">
        <v>779</v>
      </c>
      <c r="I4" s="4" t="s">
        <v>192</v>
      </c>
      <c r="K4" s="16"/>
      <c r="L4" s="21" t="str" cm="1">
        <f t="array" ref="L4">_xlfn.IFS(F4&lt;=2,"Poor",F4&lt;3,"Marginal",F4&lt;4,"Good",F4&gt;=4,"Excellent")</f>
        <v>Poor</v>
      </c>
      <c r="M4" s="21" t="str" cm="1">
        <f t="array" ref="M4:O4">_xlfn.XLOOKUP(A4,REF_Employees!A4:A83,REF_Employees!C4:E83)</f>
        <v>Senior</v>
      </c>
      <c r="N4" s="21" t="str">
        <v>R. Okafor</v>
      </c>
      <c r="O4" s="21" t="str">
        <v>Birmingham</v>
      </c>
      <c r="P4" s="21" t="str">
        <f>VLOOKUP(A4,REF_Employees!A4:D86,4)</f>
        <v>R. Okafor</v>
      </c>
    </row>
    <row r="5" spans="1:16">
      <c r="A5" s="4" t="s">
        <v>780</v>
      </c>
      <c r="B5" s="4" t="s">
        <v>1115</v>
      </c>
      <c r="C5" s="4" t="s">
        <v>1116</v>
      </c>
      <c r="D5" s="2">
        <v>42061</v>
      </c>
      <c r="E5" s="10">
        <v>29057</v>
      </c>
      <c r="F5" s="4">
        <v>3.9</v>
      </c>
      <c r="G5" s="4" t="s">
        <v>783</v>
      </c>
      <c r="H5" s="4" t="s">
        <v>784</v>
      </c>
      <c r="I5" s="4" t="s">
        <v>192</v>
      </c>
      <c r="K5" s="16"/>
      <c r="L5" s="21" t="str" cm="1">
        <f t="array" ref="L5">_xlfn.IFS(F5&lt;=2,"Poor",F5&lt;3,"Marginal",F5&lt;4,"Good",F5&gt;=4,"Excellent")</f>
        <v>Good</v>
      </c>
      <c r="M5" s="21" t="str" cm="1">
        <f t="array" ref="M5:O5">_xlfn.XLOOKUP(A5,REF_Employees!A5:A84,REF_Employees!C5:E84)</f>
        <v>Senior</v>
      </c>
      <c r="N5" s="21" t="str">
        <v>T. Williams</v>
      </c>
      <c r="O5" s="21" t="str">
        <v>Edinburgh</v>
      </c>
      <c r="P5" s="21" t="str">
        <f>VLOOKUP(A5,REF_Employees!A5:D87,4)</f>
        <v>T. Williams</v>
      </c>
    </row>
    <row r="6" spans="1:16">
      <c r="A6" s="4" t="s">
        <v>785</v>
      </c>
      <c r="B6" s="4" t="s">
        <v>1117</v>
      </c>
      <c r="C6" s="4" t="s">
        <v>833</v>
      </c>
      <c r="D6" s="2">
        <v>44600</v>
      </c>
      <c r="E6" s="10">
        <v>64232</v>
      </c>
      <c r="F6" s="4">
        <v>2.2999999999999998</v>
      </c>
      <c r="G6" s="4" t="s">
        <v>789</v>
      </c>
      <c r="H6" s="4" t="s">
        <v>766</v>
      </c>
      <c r="I6" s="4" t="s">
        <v>555</v>
      </c>
      <c r="K6" s="16"/>
      <c r="L6" s="21" t="str" cm="1">
        <f t="array" ref="L6">_xlfn.IFS(F6&lt;=2,"Poor",F6&lt;3,"Marginal",F6&lt;4,"Good",F6&gt;=4,"Excellent")</f>
        <v>Marginal</v>
      </c>
      <c r="M6" s="21" t="str" cm="1">
        <f t="array" ref="M6:O6">_xlfn.XLOOKUP(A6,REF_Employees!A6:A85,REF_Employees!C6:E85)</f>
        <v>Manager</v>
      </c>
      <c r="N6" s="21" t="str">
        <v>S. Hughes</v>
      </c>
      <c r="O6" s="21" t="str">
        <v>Belfast</v>
      </c>
      <c r="P6" s="21" t="str">
        <f>VLOOKUP(A6,REF_Employees!A6:D88,4)</f>
        <v>S. Hughes</v>
      </c>
    </row>
    <row r="7" spans="1:16">
      <c r="A7" s="4" t="s">
        <v>790</v>
      </c>
      <c r="B7" s="4" t="s">
        <v>791</v>
      </c>
      <c r="C7" s="4" t="s">
        <v>792</v>
      </c>
      <c r="D7" s="2">
        <v>42176</v>
      </c>
      <c r="E7" s="10">
        <v>78337</v>
      </c>
      <c r="F7" s="4">
        <v>3.9</v>
      </c>
      <c r="G7" s="4" t="s">
        <v>793</v>
      </c>
      <c r="H7" s="4" t="s">
        <v>773</v>
      </c>
      <c r="I7" s="4" t="s">
        <v>510</v>
      </c>
      <c r="K7" s="16"/>
      <c r="L7" s="21" t="str" cm="1">
        <f t="array" ref="L7">_xlfn.IFS(F7&lt;=2,"Poor",F7&lt;3,"Marginal",F7&lt;4,"Good",F7&gt;=4,"Excellent")</f>
        <v>Good</v>
      </c>
      <c r="M7" s="21" t="str" cm="1">
        <f t="array" ref="M7:O7">_xlfn.XLOOKUP(A7,REF_Employees!A7:A86,REF_Employees!C7:E86)</f>
        <v>Junior</v>
      </c>
      <c r="N7" s="21" t="str">
        <v>S. Hughes</v>
      </c>
      <c r="O7" s="21" t="str">
        <v>Manchester</v>
      </c>
      <c r="P7" s="21" t="str">
        <f>VLOOKUP(A7,REF_Employees!A7:D89,4)</f>
        <v>S. Hughes</v>
      </c>
    </row>
    <row r="8" spans="1:16">
      <c r="A8" s="4" t="s">
        <v>794</v>
      </c>
      <c r="B8" s="4" t="s">
        <v>1118</v>
      </c>
      <c r="C8" s="4" t="s">
        <v>1119</v>
      </c>
      <c r="D8" s="2">
        <v>42054</v>
      </c>
      <c r="E8" s="10">
        <v>48539</v>
      </c>
      <c r="F8" s="4">
        <v>3.9</v>
      </c>
      <c r="G8" s="4" t="s">
        <v>797</v>
      </c>
      <c r="H8" s="4" t="s">
        <v>798</v>
      </c>
      <c r="I8" s="4" t="s">
        <v>357</v>
      </c>
      <c r="K8" s="16"/>
      <c r="L8" s="21" t="str" cm="1">
        <f t="array" ref="L8">_xlfn.IFS(F8&lt;=2,"Poor",F8&lt;3,"Marginal",F8&lt;4,"Good",F8&gt;=4,"Excellent")</f>
        <v>Good</v>
      </c>
      <c r="M8" s="21" t="str" cm="1">
        <f t="array" ref="M8:O8">_xlfn.XLOOKUP(A8,REF_Employees!A8:A87,REF_Employees!C8:E87)</f>
        <v>Junior</v>
      </c>
      <c r="N8" s="21" t="str">
        <v>L. Bennett</v>
      </c>
      <c r="O8" s="21" t="str">
        <v>Cardiff</v>
      </c>
      <c r="P8" s="21" t="str">
        <f>VLOOKUP(A8,REF_Employees!A8:D90,4)</f>
        <v>L. Bennett</v>
      </c>
    </row>
    <row r="9" spans="1:16">
      <c r="A9" s="4" t="s">
        <v>799</v>
      </c>
      <c r="B9" s="4" t="s">
        <v>800</v>
      </c>
      <c r="C9" s="4" t="s">
        <v>763</v>
      </c>
      <c r="D9" s="2">
        <v>42778</v>
      </c>
      <c r="E9" s="10">
        <v>58272</v>
      </c>
      <c r="F9" s="4">
        <v>1.7</v>
      </c>
      <c r="G9" s="4" t="s">
        <v>803</v>
      </c>
      <c r="H9" s="4" t="s">
        <v>784</v>
      </c>
      <c r="I9" s="4" t="s">
        <v>357</v>
      </c>
      <c r="K9" s="16"/>
      <c r="L9" s="21" t="str" cm="1">
        <f t="array" ref="L9">_xlfn.IFS(F9&lt;=2,"Poor",F9&lt;3,"Marginal",F9&lt;4,"Good",F9&gt;=4,"Excellent")</f>
        <v>Poor</v>
      </c>
      <c r="M9" s="21" t="str" cm="1">
        <f t="array" ref="M9:O9">_xlfn.XLOOKUP(A9,REF_Employees!A9:A88,REF_Employees!C9:E88)</f>
        <v>Senior</v>
      </c>
      <c r="N9" s="21" t="str">
        <v>A. Singh</v>
      </c>
      <c r="O9" s="21" t="str">
        <v>Cardiff</v>
      </c>
      <c r="P9" s="21" t="str">
        <f>VLOOKUP(A9,REF_Employees!A9:D91,4)</f>
        <v>A. Singh</v>
      </c>
    </row>
    <row r="10" spans="1:16">
      <c r="A10" s="4" t="s">
        <v>804</v>
      </c>
      <c r="B10" s="4" t="s">
        <v>805</v>
      </c>
      <c r="C10" s="4" t="s">
        <v>833</v>
      </c>
      <c r="D10" s="2">
        <v>42814</v>
      </c>
      <c r="E10" s="10">
        <v>48046</v>
      </c>
      <c r="F10" s="4">
        <v>1.2</v>
      </c>
      <c r="G10" s="4" t="s">
        <v>1119</v>
      </c>
      <c r="H10" s="4" t="s">
        <v>766</v>
      </c>
      <c r="I10" s="4" t="s">
        <v>553</v>
      </c>
      <c r="K10" s="16"/>
      <c r="L10" s="21" t="str" cm="1">
        <f t="array" ref="L10">_xlfn.IFS(F10&lt;=2,"Poor",F10&lt;3,"Marginal",F10&lt;4,"Good",F10&gt;=4,"Excellent")</f>
        <v>Poor</v>
      </c>
      <c r="M10" s="21" t="str" cm="1">
        <f t="array" ref="M10:O10">_xlfn.XLOOKUP(A10,REF_Employees!A10:A89,REF_Employees!C10:E89)</f>
        <v>Lead</v>
      </c>
      <c r="N10" s="21" t="str">
        <v>A. Singh</v>
      </c>
      <c r="O10" s="21" t="str">
        <v>Edinburgh</v>
      </c>
      <c r="P10" s="21" t="str">
        <f>VLOOKUP(A10,REF_Employees!A10:D92,4)</f>
        <v>A. Singh</v>
      </c>
    </row>
    <row r="11" spans="1:16">
      <c r="A11" s="4" t="s">
        <v>808</v>
      </c>
      <c r="B11" s="4" t="s">
        <v>809</v>
      </c>
      <c r="C11" s="4" t="s">
        <v>1119</v>
      </c>
      <c r="D11" s="2">
        <v>42938</v>
      </c>
      <c r="E11" s="10">
        <v>79551</v>
      </c>
      <c r="F11" s="4">
        <v>2.4</v>
      </c>
      <c r="G11" s="4" t="s">
        <v>812</v>
      </c>
      <c r="H11" s="4" t="s">
        <v>784</v>
      </c>
      <c r="I11" s="4" t="s">
        <v>192</v>
      </c>
      <c r="K11" s="16"/>
      <c r="L11" s="21" t="str" cm="1">
        <f t="array" ref="L11">_xlfn.IFS(F11&lt;=2,"Poor",F11&lt;3,"Marginal",F11&lt;4,"Good",F11&gt;=4,"Excellent")</f>
        <v>Marginal</v>
      </c>
      <c r="M11" s="21" t="str" cm="1">
        <f t="array" ref="M11:O11">_xlfn.XLOOKUP(A11,REF_Employees!A11:A90,REF_Employees!C11:E90)</f>
        <v>Senior</v>
      </c>
      <c r="N11" s="21" t="str">
        <v>A. Singh</v>
      </c>
      <c r="O11" s="21" t="str">
        <v>Edinburgh</v>
      </c>
      <c r="P11" s="21" t="str">
        <f>VLOOKUP(A11,REF_Employees!A11:D93,4)</f>
        <v>A. Singh</v>
      </c>
    </row>
    <row r="12" spans="1:16">
      <c r="A12" s="4" t="s">
        <v>813</v>
      </c>
      <c r="B12" s="4" t="s">
        <v>1120</v>
      </c>
      <c r="C12" s="4" t="s">
        <v>792</v>
      </c>
      <c r="D12" s="2">
        <v>42090</v>
      </c>
      <c r="E12" s="10">
        <v>54523</v>
      </c>
      <c r="F12" s="4">
        <v>2.5</v>
      </c>
      <c r="G12" s="4" t="s">
        <v>817</v>
      </c>
      <c r="H12" s="4" t="s">
        <v>773</v>
      </c>
      <c r="I12" s="4" t="s">
        <v>510</v>
      </c>
      <c r="K12" s="16"/>
      <c r="L12" s="21" t="str" cm="1">
        <f t="array" ref="L12">_xlfn.IFS(F12&lt;=2,"Poor",F12&lt;3,"Marginal",F12&lt;4,"Good",F12&gt;=4,"Excellent")</f>
        <v>Marginal</v>
      </c>
      <c r="M12" s="21" t="str" cm="1">
        <f t="array" ref="M12:O12">_xlfn.XLOOKUP(A12,REF_Employees!A12:A91,REF_Employees!C12:E91)</f>
        <v>Senior</v>
      </c>
      <c r="N12" s="21" t="str">
        <v>A. Singh</v>
      </c>
      <c r="O12" s="21" t="str">
        <v>Cardiff</v>
      </c>
      <c r="P12" s="21" t="str">
        <f>VLOOKUP(A12,REF_Employees!A12:D94,4)</f>
        <v>A. Singh</v>
      </c>
    </row>
    <row r="13" spans="1:16">
      <c r="A13" s="4" t="s">
        <v>818</v>
      </c>
      <c r="B13" s="4" t="s">
        <v>819</v>
      </c>
      <c r="C13" s="4" t="s">
        <v>1116</v>
      </c>
      <c r="D13" s="2">
        <v>43301</v>
      </c>
      <c r="E13" s="10">
        <v>50296</v>
      </c>
      <c r="F13" s="4">
        <v>3.9</v>
      </c>
      <c r="G13" s="4" t="s">
        <v>821</v>
      </c>
      <c r="H13" s="4" t="s">
        <v>798</v>
      </c>
      <c r="I13" s="4" t="s">
        <v>557</v>
      </c>
      <c r="K13" s="16"/>
      <c r="L13" s="21" t="str" cm="1">
        <f t="array" ref="L13">_xlfn.IFS(F13&lt;=2,"Poor",F13&lt;3,"Marginal",F13&lt;4,"Good",F13&gt;=4,"Excellent")</f>
        <v>Good</v>
      </c>
      <c r="M13" s="21" t="str" cm="1">
        <f t="array" ref="M13:O13">_xlfn.XLOOKUP(A13,REF_Employees!A13:A92,REF_Employees!C13:E92)</f>
        <v>Lead</v>
      </c>
      <c r="N13" s="21" t="str">
        <v>A. Singh</v>
      </c>
      <c r="O13" s="21" t="str">
        <v>Belfast</v>
      </c>
      <c r="P13" s="21" t="str">
        <f>VLOOKUP(A13,REF_Employees!A13:D95,4)</f>
        <v>A. Singh</v>
      </c>
    </row>
    <row r="14" spans="1:16">
      <c r="A14" s="4" t="s">
        <v>822</v>
      </c>
      <c r="B14" s="4" t="s">
        <v>819</v>
      </c>
      <c r="C14" s="4" t="s">
        <v>1116</v>
      </c>
      <c r="D14" s="2">
        <v>43301</v>
      </c>
      <c r="E14" s="10">
        <v>50386</v>
      </c>
      <c r="F14" s="4">
        <v>3.9</v>
      </c>
      <c r="G14" s="4" t="s">
        <v>821</v>
      </c>
      <c r="H14" s="4" t="s">
        <v>798</v>
      </c>
      <c r="I14" s="4" t="s">
        <v>557</v>
      </c>
      <c r="K14" s="16"/>
      <c r="L14" s="21" t="str" cm="1">
        <f t="array" ref="L14">_xlfn.IFS(F14&lt;=2,"Poor",F14&lt;3,"Marginal",F14&lt;4,"Good",F14&gt;=4,"Excellent")</f>
        <v>Good</v>
      </c>
      <c r="M14" s="21" t="str" cm="1">
        <f t="array" ref="M14:O14">_xlfn.XLOOKUP(A14,REF_Employees!A14:A93,REF_Employees!C14:E93)</f>
        <v>Manager</v>
      </c>
      <c r="N14" s="21" t="str">
        <v>T. Williams</v>
      </c>
      <c r="O14" s="21" t="str">
        <v>London</v>
      </c>
      <c r="P14" s="21" t="str">
        <f>VLOOKUP(A14,REF_Employees!A14:D96,4)</f>
        <v>T. Williams</v>
      </c>
    </row>
    <row r="15" spans="1:16">
      <c r="A15" s="4" t="s">
        <v>826</v>
      </c>
      <c r="B15" s="4" t="s">
        <v>1121</v>
      </c>
      <c r="C15" s="4" t="s">
        <v>833</v>
      </c>
      <c r="D15" s="2">
        <v>43679</v>
      </c>
      <c r="E15" s="10">
        <v>55281</v>
      </c>
      <c r="F15" s="4">
        <v>2.8</v>
      </c>
      <c r="G15" s="4" t="s">
        <v>825</v>
      </c>
      <c r="H15" s="4" t="s">
        <v>766</v>
      </c>
      <c r="I15" s="4" t="s">
        <v>71</v>
      </c>
      <c r="K15" s="16"/>
      <c r="L15" s="21" t="str" cm="1">
        <f t="array" ref="L15">_xlfn.IFS(F15&lt;=2,"Poor",F15&lt;3,"Marginal",F15&lt;4,"Good",F15&gt;=4,"Excellent")</f>
        <v>Marginal</v>
      </c>
      <c r="M15" s="21" t="str" cm="1">
        <f t="array" ref="M15:O15">_xlfn.XLOOKUP(A15,REF_Employees!A15:A94,REF_Employees!C15:E94)</f>
        <v>Senior</v>
      </c>
      <c r="N15" s="21" t="str">
        <v>D. Morgan</v>
      </c>
      <c r="O15" s="21" t="str">
        <v>Cardiff</v>
      </c>
      <c r="P15" s="21" t="str">
        <f>VLOOKUP(A15,REF_Employees!A15:D97,4)</f>
        <v>D. Morgan</v>
      </c>
    </row>
    <row r="16" spans="1:16">
      <c r="A16" s="4" t="s">
        <v>831</v>
      </c>
      <c r="B16" s="4" t="s">
        <v>827</v>
      </c>
      <c r="C16" s="4" t="s">
        <v>1116</v>
      </c>
      <c r="D16" s="2">
        <v>42736</v>
      </c>
      <c r="E16" s="10">
        <v>59209</v>
      </c>
      <c r="F16" s="4">
        <v>4.7</v>
      </c>
      <c r="G16" s="4" t="s">
        <v>830</v>
      </c>
      <c r="H16" s="4" t="s">
        <v>784</v>
      </c>
      <c r="I16" s="4" t="s">
        <v>192</v>
      </c>
      <c r="K16" s="16"/>
      <c r="L16" s="21" t="str" cm="1">
        <f t="array" ref="L16">_xlfn.IFS(F16&lt;=2,"Poor",F16&lt;3,"Marginal",F16&lt;4,"Good",F16&gt;=4,"Excellent")</f>
        <v>Excellent</v>
      </c>
      <c r="M16" s="21" t="str" cm="1">
        <f t="array" ref="M16:O16">_xlfn.XLOOKUP(A16,REF_Employees!A16:A95,REF_Employees!C16:E95)</f>
        <v>Director</v>
      </c>
      <c r="N16" s="21" t="str">
        <v>A. Singh</v>
      </c>
      <c r="O16" s="21" t="str">
        <v>Cardiff</v>
      </c>
      <c r="P16" s="21" t="str">
        <f>VLOOKUP(A16,REF_Employees!A16:D98,4)</f>
        <v>A. Singh</v>
      </c>
    </row>
    <row r="17" spans="1:16">
      <c r="A17" s="4" t="s">
        <v>836</v>
      </c>
      <c r="B17" s="4" t="s">
        <v>832</v>
      </c>
      <c r="C17" s="4" t="s">
        <v>833</v>
      </c>
      <c r="D17" s="2">
        <v>44748</v>
      </c>
      <c r="E17" s="10">
        <v>26839</v>
      </c>
      <c r="F17" s="4">
        <v>4.7</v>
      </c>
      <c r="G17" s="4" t="s">
        <v>835</v>
      </c>
      <c r="H17" s="4" t="s">
        <v>766</v>
      </c>
      <c r="I17" s="4" t="s">
        <v>510</v>
      </c>
      <c r="K17" s="16"/>
      <c r="L17" s="21" t="str" cm="1">
        <f t="array" ref="L17">_xlfn.IFS(F17&lt;=2,"Poor",F17&lt;3,"Marginal",F17&lt;4,"Good",F17&gt;=4,"Excellent")</f>
        <v>Excellent</v>
      </c>
      <c r="M17" s="21" t="str" cm="1">
        <f t="array" ref="M17:O17">_xlfn.XLOOKUP(A17,REF_Employees!A17:A96,REF_Employees!C17:E96)</f>
        <v>Junior</v>
      </c>
      <c r="N17" s="21" t="str">
        <v>R. Okafor</v>
      </c>
      <c r="O17" s="21" t="str">
        <v>Edinburgh</v>
      </c>
      <c r="P17" s="21" t="str">
        <f>VLOOKUP(A17,REF_Employees!A17:D99,4)</f>
        <v>R. Okafor</v>
      </c>
    </row>
    <row r="18" spans="1:16">
      <c r="A18" s="4" t="s">
        <v>841</v>
      </c>
      <c r="B18" s="4" t="s">
        <v>1122</v>
      </c>
      <c r="C18" s="4" t="s">
        <v>1116</v>
      </c>
      <c r="D18" s="2">
        <v>42380</v>
      </c>
      <c r="E18" s="10">
        <v>32622</v>
      </c>
      <c r="F18" s="4">
        <v>1.4</v>
      </c>
      <c r="G18" s="4" t="s">
        <v>840</v>
      </c>
      <c r="H18" s="4" t="s">
        <v>779</v>
      </c>
      <c r="I18" s="4" t="s">
        <v>510</v>
      </c>
      <c r="K18" s="16"/>
      <c r="L18" s="21" t="str" cm="1">
        <f t="array" ref="L18">_xlfn.IFS(F18&lt;=2,"Poor",F18&lt;3,"Marginal",F18&lt;4,"Good",F18&gt;=4,"Excellent")</f>
        <v>Poor</v>
      </c>
      <c r="M18" s="21" t="str" cm="1">
        <f t="array" ref="M18:O18">_xlfn.XLOOKUP(A18,REF_Employees!A18:A97,REF_Employees!C18:E97)</f>
        <v>Mid</v>
      </c>
      <c r="N18" s="21" t="str">
        <v>S. Hughes</v>
      </c>
      <c r="O18" s="21" t="str">
        <v>Edinburgh</v>
      </c>
      <c r="P18" s="21" t="str">
        <f>VLOOKUP(A18,REF_Employees!A18:D100,4)</f>
        <v>S. Hughes</v>
      </c>
    </row>
    <row r="19" spans="1:16">
      <c r="A19" s="4" t="s">
        <v>845</v>
      </c>
      <c r="B19" s="4" t="s">
        <v>842</v>
      </c>
      <c r="C19" s="4" t="s">
        <v>792</v>
      </c>
      <c r="D19" s="2">
        <v>42770</v>
      </c>
      <c r="E19" s="10">
        <v>65731</v>
      </c>
      <c r="F19" s="4">
        <v>3.8</v>
      </c>
      <c r="G19" s="4" t="s">
        <v>844</v>
      </c>
      <c r="H19" s="4" t="s">
        <v>766</v>
      </c>
      <c r="I19" s="4" t="s">
        <v>562</v>
      </c>
      <c r="K19" s="16"/>
      <c r="L19" s="21" t="str" cm="1">
        <f t="array" ref="L19">_xlfn.IFS(F19&lt;=2,"Poor",F19&lt;3,"Marginal",F19&lt;4,"Good",F19&gt;=4,"Excellent")</f>
        <v>Good</v>
      </c>
      <c r="M19" s="21" t="str" cm="1">
        <f t="array" ref="M19:O19">_xlfn.XLOOKUP(A19,REF_Employees!A19:A98,REF_Employees!C19:E98)</f>
        <v>Junior</v>
      </c>
      <c r="N19" s="21" t="str">
        <v>D. Morgan</v>
      </c>
      <c r="O19" s="21" t="str">
        <v>Edinburgh</v>
      </c>
      <c r="P19" s="21" t="str">
        <f>VLOOKUP(A19,REF_Employees!A19:D101,4)</f>
        <v>D. Morgan</v>
      </c>
    </row>
    <row r="20" spans="1:16">
      <c r="A20" s="4" t="s">
        <v>849</v>
      </c>
      <c r="B20" s="4" t="s">
        <v>1123</v>
      </c>
      <c r="C20" s="4" t="s">
        <v>884</v>
      </c>
      <c r="D20" s="2">
        <v>43189</v>
      </c>
      <c r="E20" s="10">
        <v>73090</v>
      </c>
      <c r="F20" s="4">
        <v>2.8</v>
      </c>
      <c r="G20" s="4" t="s">
        <v>1119</v>
      </c>
      <c r="H20" s="4" t="s">
        <v>779</v>
      </c>
      <c r="I20" s="4" t="s">
        <v>357</v>
      </c>
      <c r="K20" s="16"/>
      <c r="L20" s="21" t="str" cm="1">
        <f t="array" ref="L20">_xlfn.IFS(F20&lt;=2,"Poor",F20&lt;3,"Marginal",F20&lt;4,"Good",F20&gt;=4,"Excellent")</f>
        <v>Marginal</v>
      </c>
      <c r="M20" s="21" t="str" cm="1">
        <f t="array" ref="M20:O20">_xlfn.XLOOKUP(A20,REF_Employees!A20:A99,REF_Employees!C20:E99)</f>
        <v>Senior</v>
      </c>
      <c r="N20" s="21" t="str">
        <v>S. Hughes</v>
      </c>
      <c r="O20" s="21" t="str">
        <v>Belfast</v>
      </c>
      <c r="P20" s="21" t="str">
        <f>VLOOKUP(A20,REF_Employees!A20:D102,4)</f>
        <v>S. Hughes</v>
      </c>
    </row>
    <row r="21" spans="1:16">
      <c r="A21" s="4" t="s">
        <v>853</v>
      </c>
      <c r="B21" s="4" t="s">
        <v>1123</v>
      </c>
      <c r="C21" s="4" t="s">
        <v>884</v>
      </c>
      <c r="D21" s="2">
        <v>43189</v>
      </c>
      <c r="E21" s="10">
        <v>42583</v>
      </c>
      <c r="F21" s="4">
        <v>2.8</v>
      </c>
      <c r="G21" s="4" t="s">
        <v>1119</v>
      </c>
      <c r="H21" s="4" t="s">
        <v>779</v>
      </c>
      <c r="I21" s="4" t="s">
        <v>357</v>
      </c>
      <c r="K21" s="16"/>
      <c r="L21" s="21" t="str" cm="1">
        <f t="array" ref="L21">_xlfn.IFS(F21&lt;=2,"Poor",F21&lt;3,"Marginal",F21&lt;4,"Good",F21&gt;=4,"Excellent")</f>
        <v>Marginal</v>
      </c>
      <c r="M21" s="21" t="str" cm="1">
        <f t="array" ref="M21:O21">_xlfn.XLOOKUP(A21,REF_Employees!A21:A100,REF_Employees!C21:E100)</f>
        <v>Director</v>
      </c>
      <c r="N21" s="21" t="str">
        <v>R. Okafor</v>
      </c>
      <c r="O21" s="21" t="str">
        <v>Belfast</v>
      </c>
      <c r="P21" s="21" t="str">
        <f>VLOOKUP(A21,REF_Employees!A21:D103,4)</f>
        <v>R. Okafor</v>
      </c>
    </row>
    <row r="22" spans="1:16">
      <c r="A22" s="4" t="s">
        <v>859</v>
      </c>
      <c r="B22" s="4" t="s">
        <v>1124</v>
      </c>
      <c r="C22" s="4" t="s">
        <v>884</v>
      </c>
      <c r="D22" s="2">
        <v>44269</v>
      </c>
      <c r="E22" s="10">
        <v>64254</v>
      </c>
      <c r="F22" s="4">
        <v>3</v>
      </c>
      <c r="G22" s="4" t="s">
        <v>852</v>
      </c>
      <c r="H22" s="4" t="s">
        <v>773</v>
      </c>
      <c r="I22" s="4" t="s">
        <v>562</v>
      </c>
      <c r="K22" s="16"/>
      <c r="L22" s="21" t="str" cm="1">
        <f t="array" ref="L22">_xlfn.IFS(F22&lt;=2,"Poor",F22&lt;3,"Marginal",F22&lt;4,"Good",F22&gt;=4,"Excellent")</f>
        <v>Good</v>
      </c>
      <c r="M22" s="21" t="str" cm="1">
        <f t="array" ref="M22:O22">_xlfn.XLOOKUP(A22,REF_Employees!A22:A101,REF_Employees!C22:E101)</f>
        <v>Lead</v>
      </c>
      <c r="N22" s="21" t="str">
        <v>M. Patel</v>
      </c>
      <c r="O22" s="21" t="str">
        <v>Birmingham</v>
      </c>
      <c r="P22" s="21" t="str">
        <f>VLOOKUP(A22,REF_Employees!A22:D104,4)</f>
        <v>M. Patel</v>
      </c>
    </row>
    <row r="23" spans="1:16">
      <c r="A23" s="4" t="s">
        <v>864</v>
      </c>
      <c r="B23" s="4" t="s">
        <v>854</v>
      </c>
      <c r="C23" s="4" t="s">
        <v>792</v>
      </c>
      <c r="D23" s="2">
        <v>44368</v>
      </c>
      <c r="E23" s="10">
        <v>31586</v>
      </c>
      <c r="F23" s="4">
        <v>1.5</v>
      </c>
      <c r="G23" s="4" t="s">
        <v>858</v>
      </c>
      <c r="H23" s="4" t="s">
        <v>798</v>
      </c>
      <c r="I23" s="4" t="s">
        <v>357</v>
      </c>
      <c r="K23" s="16"/>
      <c r="L23" s="21" t="str" cm="1">
        <f t="array" ref="L23">_xlfn.IFS(F23&lt;=2,"Poor",F23&lt;3,"Marginal",F23&lt;4,"Good",F23&gt;=4,"Excellent")</f>
        <v>Poor</v>
      </c>
      <c r="M23" s="21" t="str" cm="1">
        <f t="array" ref="M23:O23">_xlfn.XLOOKUP(A23,REF_Employees!A23:A102,REF_Employees!C23:E102)</f>
        <v>Junior</v>
      </c>
      <c r="N23" s="21" t="str">
        <v>J. Carter</v>
      </c>
      <c r="O23" s="21" t="str">
        <v>Manchester</v>
      </c>
      <c r="P23" s="21" t="str">
        <f>VLOOKUP(A23,REF_Employees!A23:D105,4)</f>
        <v>J. Carter</v>
      </c>
    </row>
    <row r="24" spans="1:16">
      <c r="A24" s="4" t="s">
        <v>869</v>
      </c>
      <c r="B24" s="4" t="s">
        <v>1125</v>
      </c>
      <c r="C24" s="4" t="s">
        <v>763</v>
      </c>
      <c r="D24" s="2">
        <v>42392</v>
      </c>
      <c r="E24" s="10">
        <v>30167</v>
      </c>
      <c r="F24" s="4">
        <v>1</v>
      </c>
      <c r="G24" s="4" t="s">
        <v>863</v>
      </c>
      <c r="H24" s="4" t="s">
        <v>798</v>
      </c>
      <c r="I24" s="4" t="s">
        <v>555</v>
      </c>
      <c r="K24" s="16"/>
      <c r="L24" s="21" t="str" cm="1">
        <f t="array" ref="L24">_xlfn.IFS(F24&lt;=2,"Poor",F24&lt;3,"Marginal",F24&lt;4,"Good",F24&gt;=4,"Excellent")</f>
        <v>Poor</v>
      </c>
      <c r="M24" s="21" t="str" cm="1">
        <f t="array" ref="M24:O24">_xlfn.XLOOKUP(A24,REF_Employees!A24:A103,REF_Employees!C24:E103)</f>
        <v>Senior</v>
      </c>
      <c r="N24" s="21" t="str">
        <v>D. Morgan</v>
      </c>
      <c r="O24" s="21" t="str">
        <v>Belfast</v>
      </c>
      <c r="P24" s="21" t="str">
        <f>VLOOKUP(A24,REF_Employees!A24:D106,4)</f>
        <v>D. Morgan</v>
      </c>
    </row>
    <row r="25" spans="1:16">
      <c r="A25" s="4" t="s">
        <v>874</v>
      </c>
      <c r="B25" s="4" t="s">
        <v>1126</v>
      </c>
      <c r="C25" s="4" t="s">
        <v>889</v>
      </c>
      <c r="D25" s="2">
        <v>44941</v>
      </c>
      <c r="E25" s="10">
        <v>33140</v>
      </c>
      <c r="F25" s="4">
        <v>2.4</v>
      </c>
      <c r="G25" s="4" t="s">
        <v>868</v>
      </c>
      <c r="H25" s="4" t="s">
        <v>779</v>
      </c>
      <c r="I25" s="4" t="s">
        <v>555</v>
      </c>
      <c r="K25" s="16"/>
      <c r="L25" s="21" t="str" cm="1">
        <f t="array" ref="L25">_xlfn.IFS(F25&lt;=2,"Poor",F25&lt;3,"Marginal",F25&lt;4,"Good",F25&gt;=4,"Excellent")</f>
        <v>Marginal</v>
      </c>
      <c r="M25" s="21" t="str" cm="1">
        <f t="array" ref="M25:O25">_xlfn.XLOOKUP(A25,REF_Employees!A25:A104,REF_Employees!C25:E104)</f>
        <v>Senior</v>
      </c>
      <c r="N25" s="21" t="str">
        <v>T. Williams</v>
      </c>
      <c r="O25" s="21" t="str">
        <v>Cardiff</v>
      </c>
      <c r="P25" s="21" t="str">
        <f>VLOOKUP(A25,REF_Employees!A25:D107,4)</f>
        <v>T. Williams</v>
      </c>
    </row>
    <row r="26" spans="1:16">
      <c r="A26" s="4" t="s">
        <v>878</v>
      </c>
      <c r="B26" s="4" t="s">
        <v>1127</v>
      </c>
      <c r="C26" s="4" t="s">
        <v>871</v>
      </c>
      <c r="D26" s="2">
        <v>43259</v>
      </c>
      <c r="E26" s="10">
        <v>24971</v>
      </c>
      <c r="F26" s="4">
        <v>1.5</v>
      </c>
      <c r="G26" s="4" t="s">
        <v>873</v>
      </c>
      <c r="H26" s="4" t="s">
        <v>779</v>
      </c>
      <c r="I26" s="4" t="s">
        <v>71</v>
      </c>
      <c r="K26" s="16"/>
      <c r="L26" s="21" t="str" cm="1">
        <f t="array" ref="L26">_xlfn.IFS(F26&lt;=2,"Poor",F26&lt;3,"Marginal",F26&lt;4,"Good",F26&gt;=4,"Excellent")</f>
        <v>Poor</v>
      </c>
      <c r="M26" s="21" t="str" cm="1">
        <f t="array" ref="M26:O26">_xlfn.XLOOKUP(A26,REF_Employees!A26:A105,REF_Employees!C26:E105)</f>
        <v>Lead</v>
      </c>
      <c r="N26" s="21" t="str">
        <v>R. Okafor</v>
      </c>
      <c r="O26" s="21" t="str">
        <v>Edinburgh</v>
      </c>
      <c r="P26" s="21" t="str">
        <f>VLOOKUP(A26,REF_Employees!A26:D108,4)</f>
        <v>R. Okafor</v>
      </c>
    </row>
    <row r="27" spans="1:16">
      <c r="A27" s="4" t="s">
        <v>882</v>
      </c>
      <c r="B27" s="4" t="s">
        <v>875</v>
      </c>
      <c r="C27" s="4" t="s">
        <v>871</v>
      </c>
      <c r="D27" s="2">
        <v>43454</v>
      </c>
      <c r="E27" s="10">
        <v>78449</v>
      </c>
      <c r="F27" s="4">
        <v>3.9</v>
      </c>
      <c r="G27" s="4" t="s">
        <v>877</v>
      </c>
      <c r="H27" s="4" t="s">
        <v>798</v>
      </c>
      <c r="I27" s="4" t="s">
        <v>510</v>
      </c>
      <c r="K27" s="16"/>
      <c r="L27" s="21" t="str" cm="1">
        <f t="array" ref="L27">_xlfn.IFS(F27&lt;=2,"Poor",F27&lt;3,"Marginal",F27&lt;4,"Good",F27&gt;=4,"Excellent")</f>
        <v>Good</v>
      </c>
      <c r="M27" s="21" t="str" cm="1">
        <f t="array" ref="M27:O27">_xlfn.XLOOKUP(A27,REF_Employees!A27:A106,REF_Employees!C27:E106)</f>
        <v>Lead</v>
      </c>
      <c r="N27" s="21" t="str">
        <v>R. Okafor</v>
      </c>
      <c r="O27" s="21" t="str">
        <v>Edinburgh</v>
      </c>
      <c r="P27" s="21" t="str">
        <f>VLOOKUP(A27,REF_Employees!A27:D109,4)</f>
        <v>R. Okafor</v>
      </c>
    </row>
    <row r="28" spans="1:16">
      <c r="A28" s="4" t="s">
        <v>887</v>
      </c>
      <c r="B28" s="4" t="s">
        <v>879</v>
      </c>
      <c r="C28" s="4" t="s">
        <v>792</v>
      </c>
      <c r="D28" s="2">
        <v>44420</v>
      </c>
      <c r="E28" s="10">
        <v>51561</v>
      </c>
      <c r="F28" s="4">
        <v>2.7</v>
      </c>
      <c r="G28" s="4" t="s">
        <v>881</v>
      </c>
      <c r="H28" s="4" t="s">
        <v>798</v>
      </c>
      <c r="I28" s="4" t="s">
        <v>562</v>
      </c>
      <c r="K28" s="16"/>
      <c r="L28" s="21" t="str" cm="1">
        <f t="array" ref="L28">_xlfn.IFS(F28&lt;=2,"Poor",F28&lt;3,"Marginal",F28&lt;4,"Good",F28&gt;=4,"Excellent")</f>
        <v>Marginal</v>
      </c>
      <c r="M28" s="21" t="str" cm="1">
        <f t="array" ref="M28:O28">_xlfn.XLOOKUP(A28,REF_Employees!A28:A107,REF_Employees!C28:E107)</f>
        <v>Manager</v>
      </c>
      <c r="N28" s="21" t="str">
        <v>S. Hughes</v>
      </c>
      <c r="O28" s="21" t="str">
        <v>London</v>
      </c>
      <c r="P28" s="21" t="str">
        <f>VLOOKUP(A28,REF_Employees!A28:D110,4)</f>
        <v>S. Hughes</v>
      </c>
    </row>
    <row r="29" spans="1:16">
      <c r="A29" s="4" t="s">
        <v>892</v>
      </c>
      <c r="B29" s="4" t="s">
        <v>1128</v>
      </c>
      <c r="C29" s="4" t="s">
        <v>884</v>
      </c>
      <c r="D29" s="2">
        <v>43464</v>
      </c>
      <c r="E29" s="10">
        <v>70151</v>
      </c>
      <c r="F29" s="4">
        <v>2.7</v>
      </c>
      <c r="G29" s="4" t="s">
        <v>886</v>
      </c>
      <c r="H29" s="4" t="s">
        <v>798</v>
      </c>
      <c r="I29" s="4" t="s">
        <v>357</v>
      </c>
      <c r="K29" s="16"/>
      <c r="L29" s="21" t="str" cm="1">
        <f t="array" ref="L29">_xlfn.IFS(F29&lt;=2,"Poor",F29&lt;3,"Marginal",F29&lt;4,"Good",F29&gt;=4,"Excellent")</f>
        <v>Marginal</v>
      </c>
      <c r="M29" s="21" t="str" cm="1">
        <f t="array" ref="M29:O29">_xlfn.XLOOKUP(A29,REF_Employees!A29:A108,REF_Employees!C29:E108)</f>
        <v>Lead</v>
      </c>
      <c r="N29" s="21" t="str">
        <v>A. Singh</v>
      </c>
      <c r="O29" s="21" t="str">
        <v>Belfast</v>
      </c>
      <c r="P29" s="21" t="str">
        <f>VLOOKUP(A29,REF_Employees!A29:D111,4)</f>
        <v>A. Singh</v>
      </c>
    </row>
    <row r="30" spans="1:16">
      <c r="A30" s="4" t="s">
        <v>896</v>
      </c>
      <c r="B30" s="4" t="s">
        <v>888</v>
      </c>
      <c r="C30" s="4" t="s">
        <v>889</v>
      </c>
      <c r="D30" s="2">
        <v>42144</v>
      </c>
      <c r="E30" s="10">
        <v>50347</v>
      </c>
      <c r="F30" s="4">
        <v>2.2000000000000002</v>
      </c>
      <c r="G30" s="4" t="s">
        <v>891</v>
      </c>
      <c r="H30" s="4" t="s">
        <v>773</v>
      </c>
      <c r="I30" s="4" t="s">
        <v>553</v>
      </c>
      <c r="K30" s="16"/>
      <c r="L30" s="21" t="str" cm="1">
        <f t="array" ref="L30">_xlfn.IFS(F30&lt;=2,"Poor",F30&lt;3,"Marginal",F30&lt;4,"Good",F30&gt;=4,"Excellent")</f>
        <v>Marginal</v>
      </c>
      <c r="M30" s="21" t="str" cm="1">
        <f t="array" ref="M30:O30">_xlfn.XLOOKUP(A30,REF_Employees!A30:A109,REF_Employees!C30:E109)</f>
        <v>Mid</v>
      </c>
      <c r="N30" s="21" t="str">
        <v>L. Bennett</v>
      </c>
      <c r="O30" s="21" t="str">
        <v>Belfast</v>
      </c>
      <c r="P30" s="21" t="str">
        <f>VLOOKUP(A30,REF_Employees!A30:D112,4)</f>
        <v>L. Bennett</v>
      </c>
    </row>
    <row r="31" spans="1:16">
      <c r="A31" s="4" t="s">
        <v>900</v>
      </c>
      <c r="B31" s="4" t="s">
        <v>893</v>
      </c>
      <c r="C31" s="4" t="s">
        <v>792</v>
      </c>
      <c r="D31" s="2">
        <v>43478</v>
      </c>
      <c r="E31" s="10">
        <v>0</v>
      </c>
      <c r="F31" s="4">
        <v>2.2000000000000002</v>
      </c>
      <c r="G31" s="4" t="s">
        <v>895</v>
      </c>
      <c r="H31" s="4" t="s">
        <v>798</v>
      </c>
      <c r="I31" s="4" t="s">
        <v>71</v>
      </c>
      <c r="K31" s="16"/>
      <c r="L31" s="21" t="str" cm="1">
        <f t="array" ref="L31">_xlfn.IFS(F31&lt;=2,"Poor",F31&lt;3,"Marginal",F31&lt;4,"Good",F31&gt;=4,"Excellent")</f>
        <v>Marginal</v>
      </c>
      <c r="M31" s="21" t="str" cm="1">
        <f t="array" ref="M31:O31">_xlfn.XLOOKUP(A31,REF_Employees!A31:A110,REF_Employees!C31:E110)</f>
        <v>Junior</v>
      </c>
      <c r="N31" s="21" t="str">
        <v>L. Bennett</v>
      </c>
      <c r="O31" s="21" t="str">
        <v>London</v>
      </c>
      <c r="P31" s="21" t="str">
        <f>VLOOKUP(A31,REF_Employees!A31:D113,4)</f>
        <v>L. Bennett</v>
      </c>
    </row>
    <row r="32" spans="1:16">
      <c r="A32" s="4" t="s">
        <v>903</v>
      </c>
      <c r="B32" s="4" t="s">
        <v>1129</v>
      </c>
      <c r="C32" s="4" t="s">
        <v>884</v>
      </c>
      <c r="D32" s="2">
        <v>42662</v>
      </c>
      <c r="E32" s="10">
        <v>51265</v>
      </c>
      <c r="F32" s="4">
        <v>1.2</v>
      </c>
      <c r="G32" s="4" t="s">
        <v>899</v>
      </c>
      <c r="H32" s="4" t="s">
        <v>798</v>
      </c>
      <c r="I32" s="4" t="s">
        <v>71</v>
      </c>
      <c r="K32" s="16"/>
      <c r="L32" s="21" t="str" cm="1">
        <f t="array" ref="L32">_xlfn.IFS(F32&lt;=2,"Poor",F32&lt;3,"Marginal",F32&lt;4,"Good",F32&gt;=4,"Excellent")</f>
        <v>Poor</v>
      </c>
      <c r="M32" s="21" t="str" cm="1">
        <f t="array" ref="M32:O32">_xlfn.XLOOKUP(A32,REF_Employees!A32:A111,REF_Employees!C32:E111)</f>
        <v>Junior</v>
      </c>
      <c r="N32" s="21" t="str">
        <v>M. Patel</v>
      </c>
      <c r="O32" s="21" t="str">
        <v>Belfast</v>
      </c>
      <c r="P32" s="21" t="str">
        <f>VLOOKUP(A32,REF_Employees!A32:D114,4)</f>
        <v>M. Patel</v>
      </c>
    </row>
    <row r="33" spans="1:16">
      <c r="A33" s="4" t="s">
        <v>906</v>
      </c>
      <c r="B33" s="4" t="s">
        <v>1130</v>
      </c>
      <c r="C33" s="4" t="s">
        <v>1119</v>
      </c>
      <c r="D33" s="2">
        <v>43685</v>
      </c>
      <c r="E33" s="10">
        <v>47856</v>
      </c>
      <c r="F33" s="4">
        <v>1.8</v>
      </c>
      <c r="G33" s="4" t="s">
        <v>902</v>
      </c>
      <c r="H33" s="4" t="s">
        <v>784</v>
      </c>
      <c r="I33" s="4" t="s">
        <v>510</v>
      </c>
      <c r="K33" s="16"/>
      <c r="L33" s="21" t="str" cm="1">
        <f t="array" ref="L33">_xlfn.IFS(F33&lt;=2,"Poor",F33&lt;3,"Marginal",F33&lt;4,"Good",F33&gt;=4,"Excellent")</f>
        <v>Poor</v>
      </c>
      <c r="M33" s="21" t="str" cm="1">
        <f t="array" ref="M33:O33">_xlfn.XLOOKUP(A33,REF_Employees!A33:A112,REF_Employees!C33:E112)</f>
        <v>Lead</v>
      </c>
      <c r="N33" s="21" t="str">
        <v>D. Morgan</v>
      </c>
      <c r="O33" s="21" t="str">
        <v>Manchester</v>
      </c>
      <c r="P33" s="21" t="str">
        <f>VLOOKUP(A33,REF_Employees!A33:D115,4)</f>
        <v>D. Morgan</v>
      </c>
    </row>
    <row r="34" spans="1:16">
      <c r="A34" s="4" t="s">
        <v>910</v>
      </c>
      <c r="B34" s="4" t="s">
        <v>482</v>
      </c>
      <c r="C34" s="4" t="s">
        <v>833</v>
      </c>
      <c r="D34" s="2">
        <v>45262</v>
      </c>
      <c r="E34" s="10">
        <v>60847</v>
      </c>
      <c r="F34" s="4">
        <v>4.5</v>
      </c>
      <c r="G34" s="4" t="s">
        <v>1119</v>
      </c>
      <c r="H34" s="4" t="s">
        <v>779</v>
      </c>
      <c r="I34" s="4" t="s">
        <v>357</v>
      </c>
      <c r="K34" s="16"/>
      <c r="L34" s="21" t="str" cm="1">
        <f t="array" ref="L34">_xlfn.IFS(F34&lt;=2,"Poor",F34&lt;3,"Marginal",F34&lt;4,"Good",F34&gt;=4,"Excellent")</f>
        <v>Excellent</v>
      </c>
      <c r="M34" s="21" t="str" cm="1">
        <f t="array" ref="M34:O34">_xlfn.XLOOKUP(A34,REF_Employees!A34:A113,REF_Employees!C34:E113)</f>
        <v>Manager</v>
      </c>
      <c r="N34" s="21" t="str">
        <v>T. Williams</v>
      </c>
      <c r="O34" s="21" t="str">
        <v>Belfast</v>
      </c>
      <c r="P34" s="21" t="str">
        <f>VLOOKUP(A34,REF_Employees!A34:D116,4)</f>
        <v>T. Williams</v>
      </c>
    </row>
    <row r="35" spans="1:16">
      <c r="A35" s="4" t="s">
        <v>914</v>
      </c>
      <c r="B35" s="4" t="s">
        <v>907</v>
      </c>
      <c r="C35" s="4" t="s">
        <v>871</v>
      </c>
      <c r="D35" s="2">
        <v>42887</v>
      </c>
      <c r="E35" s="10">
        <v>37679</v>
      </c>
      <c r="F35" s="4">
        <v>1.9</v>
      </c>
      <c r="G35" s="4" t="s">
        <v>909</v>
      </c>
      <c r="H35" s="4" t="s">
        <v>773</v>
      </c>
      <c r="I35" s="4" t="s">
        <v>192</v>
      </c>
      <c r="K35" s="16"/>
      <c r="L35" s="21" t="str" cm="1">
        <f t="array" ref="L35">_xlfn.IFS(F35&lt;=2,"Poor",F35&lt;3,"Marginal",F35&lt;4,"Good",F35&gt;=4,"Excellent")</f>
        <v>Poor</v>
      </c>
      <c r="M35" s="21" t="str" cm="1">
        <f t="array" ref="M35:O35">_xlfn.XLOOKUP(A35,REF_Employees!A35:A114,REF_Employees!C35:E114)</f>
        <v>Junior</v>
      </c>
      <c r="N35" s="21" t="str">
        <v>S. Hughes</v>
      </c>
      <c r="O35" s="21" t="str">
        <v>Edinburgh</v>
      </c>
      <c r="P35" s="21" t="str">
        <f>VLOOKUP(A35,REF_Employees!A35:D117,4)</f>
        <v>S. Hughes</v>
      </c>
    </row>
    <row r="36" spans="1:16">
      <c r="A36" s="4" t="s">
        <v>919</v>
      </c>
      <c r="B36" s="4" t="s">
        <v>1131</v>
      </c>
      <c r="C36" s="4" t="s">
        <v>884</v>
      </c>
      <c r="D36" s="2">
        <v>44989</v>
      </c>
      <c r="E36" s="10">
        <v>58847</v>
      </c>
      <c r="F36" s="4">
        <v>1.5</v>
      </c>
      <c r="G36" s="4" t="s">
        <v>913</v>
      </c>
      <c r="H36" s="4" t="s">
        <v>784</v>
      </c>
      <c r="I36" s="4" t="s">
        <v>557</v>
      </c>
      <c r="K36" s="16"/>
      <c r="L36" s="21" t="str" cm="1">
        <f t="array" ref="L36">_xlfn.IFS(F36&lt;=2,"Poor",F36&lt;3,"Marginal",F36&lt;4,"Good",F36&gt;=4,"Excellent")</f>
        <v>Poor</v>
      </c>
      <c r="M36" s="21" t="str" cm="1">
        <f t="array" ref="M36:O36">_xlfn.XLOOKUP(A36,REF_Employees!A36:A115,REF_Employees!C36:E115)</f>
        <v>Manager</v>
      </c>
      <c r="N36" s="21" t="str">
        <v>M. Patel</v>
      </c>
      <c r="O36" s="21" t="str">
        <v>Manchester</v>
      </c>
      <c r="P36" s="21" t="str">
        <f>VLOOKUP(A36,REF_Employees!A36:D118,4)</f>
        <v>M. Patel</v>
      </c>
    </row>
    <row r="37" spans="1:16">
      <c r="A37" s="4" t="s">
        <v>922</v>
      </c>
      <c r="B37" s="4" t="s">
        <v>915</v>
      </c>
      <c r="C37" s="4" t="s">
        <v>763</v>
      </c>
      <c r="D37" s="2">
        <v>44088</v>
      </c>
      <c r="E37" s="10">
        <v>73429</v>
      </c>
      <c r="F37" s="4">
        <v>2.2000000000000002</v>
      </c>
      <c r="G37" s="4" t="s">
        <v>918</v>
      </c>
      <c r="H37" s="4" t="s">
        <v>773</v>
      </c>
      <c r="I37" s="4" t="s">
        <v>557</v>
      </c>
      <c r="K37" s="16"/>
      <c r="L37" s="21" t="str" cm="1">
        <f t="array" ref="L37">_xlfn.IFS(F37&lt;=2,"Poor",F37&lt;3,"Marginal",F37&lt;4,"Good",F37&gt;=4,"Excellent")</f>
        <v>Marginal</v>
      </c>
      <c r="M37" s="21" t="str" cm="1">
        <f t="array" ref="M37:O37">_xlfn.XLOOKUP(A37,REF_Employees!A37:A116,REF_Employees!C37:E116)</f>
        <v>Manager</v>
      </c>
      <c r="N37" s="21" t="str">
        <v>S. Hughes</v>
      </c>
      <c r="O37" s="21" t="str">
        <v>Birmingham</v>
      </c>
      <c r="P37" s="21" t="str">
        <f>VLOOKUP(A37,REF_Employees!A37:D119,4)</f>
        <v>S. Hughes</v>
      </c>
    </row>
    <row r="38" spans="1:16">
      <c r="A38" s="4" t="s">
        <v>926</v>
      </c>
      <c r="B38" s="4" t="s">
        <v>1132</v>
      </c>
      <c r="C38" s="4" t="s">
        <v>792</v>
      </c>
      <c r="D38" s="2">
        <v>44166</v>
      </c>
      <c r="E38" s="10">
        <v>51381</v>
      </c>
      <c r="F38" s="4">
        <v>4.3</v>
      </c>
      <c r="G38" s="4" t="s">
        <v>921</v>
      </c>
      <c r="H38" s="4" t="s">
        <v>766</v>
      </c>
      <c r="I38" s="4" t="s">
        <v>555</v>
      </c>
      <c r="K38" s="16"/>
      <c r="L38" s="21" t="str" cm="1">
        <f t="array" ref="L38">_xlfn.IFS(F38&lt;=2,"Poor",F38&lt;3,"Marginal",F38&lt;4,"Good",F38&gt;=4,"Excellent")</f>
        <v>Excellent</v>
      </c>
      <c r="M38" s="21" t="str" cm="1">
        <f t="array" ref="M38:O38">_xlfn.XLOOKUP(A38,REF_Employees!A38:A117,REF_Employees!C38:E117)</f>
        <v>Director</v>
      </c>
      <c r="N38" s="21" t="str">
        <v>A. Singh</v>
      </c>
      <c r="O38" s="21" t="str">
        <v>Birmingham</v>
      </c>
      <c r="P38" s="21" t="str">
        <f>VLOOKUP(A38,REF_Employees!A38:D120,4)</f>
        <v>A. Singh</v>
      </c>
    </row>
    <row r="39" spans="1:16">
      <c r="A39" s="4" t="s">
        <v>929</v>
      </c>
      <c r="B39" s="4" t="s">
        <v>1133</v>
      </c>
      <c r="C39" s="4" t="s">
        <v>1116</v>
      </c>
      <c r="D39" s="2">
        <v>43181</v>
      </c>
      <c r="E39" s="10">
        <v>71396</v>
      </c>
      <c r="F39" s="4">
        <v>1.4</v>
      </c>
      <c r="G39" s="4" t="s">
        <v>925</v>
      </c>
      <c r="H39" s="4" t="s">
        <v>798</v>
      </c>
      <c r="I39" s="4" t="s">
        <v>357</v>
      </c>
      <c r="K39" s="16"/>
      <c r="L39" s="21" t="str" cm="1">
        <f t="array" ref="L39">_xlfn.IFS(F39&lt;=2,"Poor",F39&lt;3,"Marginal",F39&lt;4,"Good",F39&gt;=4,"Excellent")</f>
        <v>Poor</v>
      </c>
      <c r="M39" s="21" t="str" cm="1">
        <f t="array" ref="M39:O39">_xlfn.XLOOKUP(A39,REF_Employees!A39:A118,REF_Employees!C39:E118)</f>
        <v>Director</v>
      </c>
      <c r="N39" s="21" t="str">
        <v>T. Williams</v>
      </c>
      <c r="O39" s="21" t="str">
        <v>London</v>
      </c>
      <c r="P39" s="21" t="str">
        <f>VLOOKUP(A39,REF_Employees!A39:D121,4)</f>
        <v>T. Williams</v>
      </c>
    </row>
    <row r="40" spans="1:16">
      <c r="A40" s="4" t="s">
        <v>933</v>
      </c>
      <c r="B40" s="4" t="s">
        <v>879</v>
      </c>
      <c r="C40" s="4" t="s">
        <v>884</v>
      </c>
      <c r="D40" s="2">
        <v>44884</v>
      </c>
      <c r="E40" s="10">
        <v>61045</v>
      </c>
      <c r="F40" s="4">
        <v>1.7</v>
      </c>
      <c r="G40" s="4" t="s">
        <v>881</v>
      </c>
      <c r="H40" s="4" t="s">
        <v>773</v>
      </c>
      <c r="I40" s="4" t="s">
        <v>562</v>
      </c>
      <c r="K40" s="16"/>
      <c r="L40" s="21" t="str" cm="1">
        <f t="array" ref="L40">_xlfn.IFS(F40&lt;=2,"Poor",F40&lt;3,"Marginal",F40&lt;4,"Good",F40&gt;=4,"Excellent")</f>
        <v>Poor</v>
      </c>
      <c r="M40" s="21" t="str" cm="1">
        <f t="array" ref="M40:O40">_xlfn.XLOOKUP(A40,REF_Employees!A40:A119,REF_Employees!C40:E119)</f>
        <v>Manager</v>
      </c>
      <c r="N40" s="21" t="str">
        <v>J. Carter</v>
      </c>
      <c r="O40" s="21" t="str">
        <v>London</v>
      </c>
      <c r="P40" s="21" t="str">
        <f>VLOOKUP(A40,REF_Employees!A40:D122,4)</f>
        <v>J. Carter</v>
      </c>
    </row>
    <row r="41" spans="1:16">
      <c r="A41" s="4" t="s">
        <v>937</v>
      </c>
      <c r="B41" s="4" t="s">
        <v>1134</v>
      </c>
      <c r="C41" s="4" t="s">
        <v>1116</v>
      </c>
      <c r="D41" s="2">
        <v>44685</v>
      </c>
      <c r="E41" s="10">
        <v>31607</v>
      </c>
      <c r="F41" s="4">
        <v>2.9</v>
      </c>
      <c r="G41" s="4" t="s">
        <v>932</v>
      </c>
      <c r="H41" s="4" t="s">
        <v>766</v>
      </c>
      <c r="I41" s="4" t="s">
        <v>562</v>
      </c>
      <c r="K41" s="16"/>
      <c r="L41" s="21" t="str" cm="1">
        <f t="array" ref="L41">_xlfn.IFS(F41&lt;=2,"Poor",F41&lt;3,"Marginal",F41&lt;4,"Good",F41&gt;=4,"Excellent")</f>
        <v>Marginal</v>
      </c>
      <c r="M41" s="21" t="str" cm="1">
        <f t="array" ref="M41:O41">_xlfn.XLOOKUP(A41,REF_Employees!A41:A120,REF_Employees!C41:E120)</f>
        <v>Lead</v>
      </c>
      <c r="N41" s="21" t="str">
        <v>J. Carter</v>
      </c>
      <c r="O41" s="21" t="str">
        <v>Manchester</v>
      </c>
      <c r="P41" s="21" t="str">
        <f>VLOOKUP(A41,REF_Employees!A41:D123,4)</f>
        <v>J. Carter</v>
      </c>
    </row>
    <row r="42" spans="1:16">
      <c r="A42" s="4" t="s">
        <v>942</v>
      </c>
      <c r="B42" s="4" t="s">
        <v>1135</v>
      </c>
      <c r="C42" s="4" t="s">
        <v>1113</v>
      </c>
      <c r="D42" s="2">
        <v>44026</v>
      </c>
      <c r="E42" s="10">
        <v>69282</v>
      </c>
      <c r="F42" s="4">
        <v>2</v>
      </c>
      <c r="G42" s="4" t="s">
        <v>936</v>
      </c>
      <c r="H42" s="4" t="s">
        <v>784</v>
      </c>
      <c r="I42" s="4" t="s">
        <v>557</v>
      </c>
      <c r="K42" s="16"/>
      <c r="L42" s="21" t="str" cm="1">
        <f t="array" ref="L42">_xlfn.IFS(F42&lt;=2,"Poor",F42&lt;3,"Marginal",F42&lt;4,"Good",F42&gt;=4,"Excellent")</f>
        <v>Poor</v>
      </c>
      <c r="M42" s="21" t="str" cm="1">
        <f t="array" ref="M42:O42">_xlfn.XLOOKUP(A42,REF_Employees!A42:A121,REF_Employees!C42:E121)</f>
        <v>Mid</v>
      </c>
      <c r="N42" s="21" t="str">
        <v>M. Patel</v>
      </c>
      <c r="O42" s="21" t="str">
        <v>Manchester</v>
      </c>
      <c r="P42" s="21" t="str">
        <f>VLOOKUP(A42,REF_Employees!A42:D124,4)</f>
        <v>M. Patel</v>
      </c>
    </row>
    <row r="43" spans="1:16">
      <c r="A43" s="4" t="s">
        <v>945</v>
      </c>
      <c r="B43" s="4" t="s">
        <v>938</v>
      </c>
      <c r="C43" s="4" t="s">
        <v>889</v>
      </c>
      <c r="D43" s="2">
        <v>43414</v>
      </c>
      <c r="E43" s="10">
        <v>42236</v>
      </c>
      <c r="F43" s="4">
        <v>1.9</v>
      </c>
      <c r="G43" s="4" t="s">
        <v>941</v>
      </c>
      <c r="H43" s="4" t="s">
        <v>779</v>
      </c>
      <c r="I43" s="4" t="s">
        <v>357</v>
      </c>
      <c r="K43" s="16"/>
      <c r="L43" s="21" t="str" cm="1">
        <f t="array" ref="L43">_xlfn.IFS(F43&lt;=2,"Poor",F43&lt;3,"Marginal",F43&lt;4,"Good",F43&gt;=4,"Excellent")</f>
        <v>Poor</v>
      </c>
      <c r="M43" s="21" t="str" cm="1">
        <f t="array" ref="M43:O43">_xlfn.XLOOKUP(A43,REF_Employees!A43:A122,REF_Employees!C43:E122)</f>
        <v>Mid</v>
      </c>
      <c r="N43" s="21" t="str">
        <v>A. Singh</v>
      </c>
      <c r="O43" s="21" t="str">
        <v>Manchester</v>
      </c>
      <c r="P43" s="21" t="str">
        <f>VLOOKUP(A43,REF_Employees!A43:D125,4)</f>
        <v>A. Singh</v>
      </c>
    </row>
    <row r="44" spans="1:16">
      <c r="A44" s="4" t="s">
        <v>949</v>
      </c>
      <c r="B44" s="4" t="s">
        <v>943</v>
      </c>
      <c r="C44" s="4" t="s">
        <v>884</v>
      </c>
      <c r="D44" s="2">
        <v>43555</v>
      </c>
      <c r="E44" s="10">
        <v>72651</v>
      </c>
      <c r="F44" s="4">
        <v>1.8</v>
      </c>
      <c r="G44" s="4" t="s">
        <v>944</v>
      </c>
      <c r="H44" s="4" t="s">
        <v>773</v>
      </c>
      <c r="I44" s="4" t="s">
        <v>555</v>
      </c>
      <c r="K44" s="16"/>
      <c r="L44" s="21" t="str" cm="1">
        <f t="array" ref="L44">_xlfn.IFS(F44&lt;=2,"Poor",F44&lt;3,"Marginal",F44&lt;4,"Good",F44&gt;=4,"Excellent")</f>
        <v>Poor</v>
      </c>
      <c r="M44" s="21" t="str" cm="1">
        <f t="array" ref="M44:O44">_xlfn.XLOOKUP(A44,REF_Employees!A44:A123,REF_Employees!C44:E123)</f>
        <v>Junior</v>
      </c>
      <c r="N44" s="21" t="str">
        <v>R. Okafor</v>
      </c>
      <c r="O44" s="21" t="str">
        <v>Edinburgh</v>
      </c>
      <c r="P44" s="21" t="str">
        <f>VLOOKUP(A44,REF_Employees!A44:D126,4)</f>
        <v>R. Okafor</v>
      </c>
    </row>
    <row r="45" spans="1:16">
      <c r="A45" s="4" t="s">
        <v>953</v>
      </c>
      <c r="B45" s="4" t="s">
        <v>946</v>
      </c>
      <c r="C45" s="4" t="s">
        <v>792</v>
      </c>
      <c r="D45" s="2">
        <v>44127</v>
      </c>
      <c r="E45" s="10">
        <v>39364</v>
      </c>
      <c r="F45" s="4">
        <v>2.8</v>
      </c>
      <c r="G45" s="4" t="s">
        <v>948</v>
      </c>
      <c r="H45" s="4" t="s">
        <v>779</v>
      </c>
      <c r="I45" s="4" t="s">
        <v>557</v>
      </c>
      <c r="K45" s="16"/>
      <c r="L45" s="21" t="str" cm="1">
        <f t="array" ref="L45">_xlfn.IFS(F45&lt;=2,"Poor",F45&lt;3,"Marginal",F45&lt;4,"Good",F45&gt;=4,"Excellent")</f>
        <v>Marginal</v>
      </c>
      <c r="M45" s="21" t="str" cm="1">
        <f t="array" ref="M45:O45">_xlfn.XLOOKUP(A45,REF_Employees!A45:A124,REF_Employees!C45:E124)</f>
        <v>Senior</v>
      </c>
      <c r="N45" s="21" t="str">
        <v>J. Carter</v>
      </c>
      <c r="O45" s="21" t="str">
        <v>London</v>
      </c>
      <c r="P45" s="21" t="str">
        <f>VLOOKUP(A45,REF_Employees!A45:D127,4)</f>
        <v>J. Carter</v>
      </c>
    </row>
    <row r="46" spans="1:16">
      <c r="A46" s="4" t="s">
        <v>957</v>
      </c>
      <c r="B46" s="4" t="s">
        <v>950</v>
      </c>
      <c r="C46" s="4" t="s">
        <v>792</v>
      </c>
      <c r="D46" s="2">
        <v>42950</v>
      </c>
      <c r="E46" s="10">
        <v>59911</v>
      </c>
      <c r="F46" s="4">
        <v>3.1</v>
      </c>
      <c r="G46" s="4" t="s">
        <v>952</v>
      </c>
      <c r="H46" s="4" t="s">
        <v>798</v>
      </c>
      <c r="I46" s="4" t="s">
        <v>71</v>
      </c>
      <c r="K46" s="16"/>
      <c r="L46" s="21" t="str" cm="1">
        <f t="array" ref="L46">_xlfn.IFS(F46&lt;=2,"Poor",F46&lt;3,"Marginal",F46&lt;4,"Good",F46&gt;=4,"Excellent")</f>
        <v>Good</v>
      </c>
      <c r="M46" s="21" t="str" cm="1">
        <f t="array" ref="M46:O46">_xlfn.XLOOKUP(A46,REF_Employees!A46:A125,REF_Employees!C46:E125)</f>
        <v>Junior</v>
      </c>
      <c r="N46" s="21" t="str">
        <v>S. Hughes</v>
      </c>
      <c r="O46" s="21" t="str">
        <v>Manchester</v>
      </c>
      <c r="P46" s="21" t="str">
        <f>VLOOKUP(A46,REF_Employees!A46:D128,4)</f>
        <v>S. Hughes</v>
      </c>
    </row>
    <row r="47" spans="1:16">
      <c r="A47" s="4" t="s">
        <v>961</v>
      </c>
      <c r="B47" s="4" t="s">
        <v>954</v>
      </c>
      <c r="C47" s="4" t="s">
        <v>1116</v>
      </c>
      <c r="D47" s="2">
        <v>44691</v>
      </c>
      <c r="E47" s="10">
        <v>47122</v>
      </c>
      <c r="F47" s="4">
        <v>2</v>
      </c>
      <c r="G47" s="4" t="s">
        <v>956</v>
      </c>
      <c r="H47" s="4" t="s">
        <v>766</v>
      </c>
      <c r="I47" s="4" t="s">
        <v>357</v>
      </c>
      <c r="K47" s="16"/>
      <c r="L47" s="21" t="str" cm="1">
        <f t="array" ref="L47">_xlfn.IFS(F47&lt;=2,"Poor",F47&lt;3,"Marginal",F47&lt;4,"Good",F47&gt;=4,"Excellent")</f>
        <v>Poor</v>
      </c>
      <c r="M47" s="21" t="str" cm="1">
        <f t="array" ref="M47:O47">_xlfn.XLOOKUP(A47,REF_Employees!A47:A126,REF_Employees!C47:E126)</f>
        <v>Manager</v>
      </c>
      <c r="N47" s="21" t="str">
        <v>L. Bennett</v>
      </c>
      <c r="O47" s="21" t="str">
        <v>London</v>
      </c>
      <c r="P47" s="21" t="str">
        <f>VLOOKUP(A47,REF_Employees!A47:D129,4)</f>
        <v>L. Bennett</v>
      </c>
    </row>
    <row r="48" spans="1:16">
      <c r="A48" s="4" t="s">
        <v>966</v>
      </c>
      <c r="B48" s="4" t="s">
        <v>1136</v>
      </c>
      <c r="C48" s="4" t="s">
        <v>763</v>
      </c>
      <c r="D48" s="2">
        <v>43975</v>
      </c>
      <c r="E48" s="10">
        <v>66451</v>
      </c>
      <c r="F48" s="4">
        <v>1.8</v>
      </c>
      <c r="G48" s="4" t="s">
        <v>960</v>
      </c>
      <c r="H48" s="4" t="s">
        <v>773</v>
      </c>
      <c r="I48" s="4" t="s">
        <v>510</v>
      </c>
      <c r="K48" s="16"/>
      <c r="L48" s="21" t="str" cm="1">
        <f t="array" ref="L48">_xlfn.IFS(F48&lt;=2,"Poor",F48&lt;3,"Marginal",F48&lt;4,"Good",F48&gt;=4,"Excellent")</f>
        <v>Poor</v>
      </c>
      <c r="M48" s="21" t="str" cm="1">
        <f t="array" ref="M48:O48">_xlfn.XLOOKUP(A48,REF_Employees!A48:A127,REF_Employees!C48:E127)</f>
        <v>Director</v>
      </c>
      <c r="N48" s="21" t="str">
        <v>S. Hughes</v>
      </c>
      <c r="O48" s="21" t="str">
        <v>Cardiff</v>
      </c>
      <c r="P48" s="21" t="str">
        <f>VLOOKUP(A48,REF_Employees!A48:D130,4)</f>
        <v>S. Hughes</v>
      </c>
    </row>
    <row r="49" spans="1:16">
      <c r="A49" s="4" t="s">
        <v>969</v>
      </c>
      <c r="B49" s="4" t="s">
        <v>1137</v>
      </c>
      <c r="C49" s="4" t="s">
        <v>1113</v>
      </c>
      <c r="D49" s="2">
        <v>42286</v>
      </c>
      <c r="E49" s="10">
        <v>70740</v>
      </c>
      <c r="F49" s="4">
        <v>1.5</v>
      </c>
      <c r="G49" s="4" t="s">
        <v>965</v>
      </c>
      <c r="H49" s="4" t="s">
        <v>773</v>
      </c>
      <c r="I49" s="4" t="s">
        <v>555</v>
      </c>
      <c r="K49" s="16"/>
      <c r="L49" s="21" t="str" cm="1">
        <f t="array" ref="L49">_xlfn.IFS(F49&lt;=2,"Poor",F49&lt;3,"Marginal",F49&lt;4,"Good",F49&gt;=4,"Excellent")</f>
        <v>Poor</v>
      </c>
      <c r="M49" s="21" t="str" cm="1">
        <f t="array" ref="M49:O49">_xlfn.XLOOKUP(A49,REF_Employees!A49:A128,REF_Employees!C49:E128)</f>
        <v>Director</v>
      </c>
      <c r="N49" s="21" t="str">
        <v>M. Patel</v>
      </c>
      <c r="O49" s="21" t="str">
        <v>Manchester</v>
      </c>
      <c r="P49" s="21" t="str">
        <f>VLOOKUP(A49,REF_Employees!A49:D131,4)</f>
        <v>M. Patel</v>
      </c>
    </row>
    <row r="50" spans="1:16">
      <c r="A50" s="4" t="s">
        <v>973</v>
      </c>
      <c r="B50" s="4" t="s">
        <v>967</v>
      </c>
      <c r="C50" s="4" t="s">
        <v>833</v>
      </c>
      <c r="D50" s="2">
        <v>43851</v>
      </c>
      <c r="E50" s="10">
        <v>70632</v>
      </c>
      <c r="F50" s="4">
        <v>4.2</v>
      </c>
      <c r="G50" s="4" t="s">
        <v>968</v>
      </c>
      <c r="H50" s="4" t="s">
        <v>779</v>
      </c>
      <c r="I50" s="4" t="s">
        <v>71</v>
      </c>
      <c r="K50" s="16"/>
      <c r="L50" s="21" t="str" cm="1">
        <f t="array" ref="L50">_xlfn.IFS(F50&lt;=2,"Poor",F50&lt;3,"Marginal",F50&lt;4,"Good",F50&gt;=4,"Excellent")</f>
        <v>Excellent</v>
      </c>
      <c r="M50" s="21" t="str" cm="1">
        <f t="array" ref="M50:O50">_xlfn.XLOOKUP(A50,REF_Employees!A50:A129,REF_Employees!C50:E129)</f>
        <v>Manager</v>
      </c>
      <c r="N50" s="21" t="str">
        <v>M. Patel</v>
      </c>
      <c r="O50" s="21" t="str">
        <v>London</v>
      </c>
      <c r="P50" s="21" t="str">
        <f>VLOOKUP(A50,REF_Employees!A50:D132,4)</f>
        <v>M. Patel</v>
      </c>
    </row>
    <row r="51" spans="1:16">
      <c r="A51" s="4" t="s">
        <v>978</v>
      </c>
      <c r="B51" s="4" t="s">
        <v>970</v>
      </c>
      <c r="C51" s="4" t="s">
        <v>889</v>
      </c>
      <c r="D51" s="2">
        <v>44695</v>
      </c>
      <c r="E51" s="10">
        <v>75920</v>
      </c>
      <c r="F51" s="4">
        <v>3.4</v>
      </c>
      <c r="G51" s="4" t="s">
        <v>972</v>
      </c>
      <c r="H51" s="4" t="s">
        <v>773</v>
      </c>
      <c r="I51" s="4" t="s">
        <v>510</v>
      </c>
      <c r="K51" s="16"/>
      <c r="L51" s="21" t="str" cm="1">
        <f t="array" ref="L51">_xlfn.IFS(F51&lt;=2,"Poor",F51&lt;3,"Marginal",F51&lt;4,"Good",F51&gt;=4,"Excellent")</f>
        <v>Good</v>
      </c>
      <c r="M51" s="21" t="str" cm="1">
        <f t="array" ref="M51:O51">_xlfn.XLOOKUP(A51,REF_Employees!A51:A130,REF_Employees!C51:E130)</f>
        <v>Manager</v>
      </c>
      <c r="N51" s="21" t="str">
        <v>J. Carter</v>
      </c>
      <c r="O51" s="21" t="str">
        <v>Manchester</v>
      </c>
      <c r="P51" s="21" t="str">
        <f>VLOOKUP(A51,REF_Employees!A51:D133,4)</f>
        <v>J. Carter</v>
      </c>
    </row>
    <row r="52" spans="1:16">
      <c r="A52" s="4" t="s">
        <v>982</v>
      </c>
      <c r="B52" s="4" t="s">
        <v>974</v>
      </c>
      <c r="C52" s="4" t="s">
        <v>763</v>
      </c>
      <c r="D52" s="2">
        <v>42959</v>
      </c>
      <c r="E52" s="10">
        <v>47604</v>
      </c>
      <c r="F52" s="4">
        <v>1.9</v>
      </c>
      <c r="G52" s="4" t="s">
        <v>1119</v>
      </c>
      <c r="H52" s="4" t="s">
        <v>773</v>
      </c>
      <c r="I52" s="4" t="s">
        <v>553</v>
      </c>
      <c r="K52" s="16"/>
      <c r="L52" s="21" t="str" cm="1">
        <f t="array" ref="L52">_xlfn.IFS(F52&lt;=2,"Poor",F52&lt;3,"Marginal",F52&lt;4,"Good",F52&gt;=4,"Excellent")</f>
        <v>Poor</v>
      </c>
      <c r="M52" s="21" t="str" cm="1">
        <f t="array" ref="M52:O52">_xlfn.XLOOKUP(A52,REF_Employees!A52:A131,REF_Employees!C52:E131)</f>
        <v>Junior</v>
      </c>
      <c r="N52" s="21" t="str">
        <v>S. Hughes</v>
      </c>
      <c r="O52" s="21" t="str">
        <v>Birmingham</v>
      </c>
      <c r="P52" s="21" t="str">
        <f>VLOOKUP(A52,REF_Employees!A52:D134,4)</f>
        <v>S. Hughes</v>
      </c>
    </row>
    <row r="53" spans="1:16">
      <c r="A53" s="4" t="s">
        <v>986</v>
      </c>
      <c r="B53" s="4" t="s">
        <v>1138</v>
      </c>
      <c r="C53" s="4" t="s">
        <v>1113</v>
      </c>
      <c r="D53" s="2">
        <v>42735</v>
      </c>
      <c r="E53" s="10">
        <v>38686</v>
      </c>
      <c r="F53" s="4">
        <v>4</v>
      </c>
      <c r="G53" s="4" t="s">
        <v>981</v>
      </c>
      <c r="H53" s="4" t="s">
        <v>784</v>
      </c>
      <c r="I53" s="4" t="s">
        <v>357</v>
      </c>
      <c r="K53" s="16"/>
      <c r="L53" s="21" t="str" cm="1">
        <f t="array" ref="L53">_xlfn.IFS(F53&lt;=2,"Poor",F53&lt;3,"Marginal",F53&lt;4,"Good",F53&gt;=4,"Excellent")</f>
        <v>Excellent</v>
      </c>
      <c r="M53" s="21" t="str" cm="1">
        <f t="array" ref="M53:O53">_xlfn.XLOOKUP(A53,REF_Employees!A53:A132,REF_Employees!C53:E132)</f>
        <v>Junior</v>
      </c>
      <c r="N53" s="21" t="str">
        <v>S. Hughes</v>
      </c>
      <c r="O53" s="21" t="str">
        <v>Manchester</v>
      </c>
      <c r="P53" s="21" t="str">
        <f>VLOOKUP(A53,REF_Employees!A53:D135,4)</f>
        <v>S. Hughes</v>
      </c>
    </row>
    <row r="54" spans="1:16">
      <c r="A54" s="4" t="s">
        <v>990</v>
      </c>
      <c r="B54" s="4" t="s">
        <v>1139</v>
      </c>
      <c r="C54" s="4" t="s">
        <v>833</v>
      </c>
      <c r="D54" s="2">
        <v>44401</v>
      </c>
      <c r="E54" s="10">
        <v>53984</v>
      </c>
      <c r="F54" s="4">
        <v>3.1</v>
      </c>
      <c r="G54" s="4" t="s">
        <v>1119</v>
      </c>
      <c r="H54" s="4" t="s">
        <v>784</v>
      </c>
      <c r="I54" s="4" t="s">
        <v>553</v>
      </c>
      <c r="K54" s="16"/>
      <c r="L54" s="21" t="str" cm="1">
        <f t="array" ref="L54">_xlfn.IFS(F54&lt;=2,"Poor",F54&lt;3,"Marginal",F54&lt;4,"Good",F54&gt;=4,"Excellent")</f>
        <v>Good</v>
      </c>
      <c r="M54" s="21" t="str" cm="1">
        <f t="array" ref="M54:O54">_xlfn.XLOOKUP(A54,REF_Employees!A54:A133,REF_Employees!C54:E133)</f>
        <v>Lead</v>
      </c>
      <c r="N54" s="21" t="str">
        <v>L. Bennett</v>
      </c>
      <c r="O54" s="21" t="str">
        <v>Manchester</v>
      </c>
      <c r="P54" s="21" t="str">
        <f>VLOOKUP(A54,REF_Employees!A54:D136,4)</f>
        <v>L. Bennett</v>
      </c>
    </row>
    <row r="55" spans="1:16">
      <c r="A55" s="4" t="s">
        <v>995</v>
      </c>
      <c r="B55" s="4" t="s">
        <v>1140</v>
      </c>
      <c r="C55" s="4" t="s">
        <v>833</v>
      </c>
      <c r="D55" s="2">
        <v>43498</v>
      </c>
      <c r="E55" s="10">
        <v>74160</v>
      </c>
      <c r="F55" s="4">
        <v>4</v>
      </c>
      <c r="G55" s="4" t="s">
        <v>989</v>
      </c>
      <c r="H55" s="4" t="s">
        <v>798</v>
      </c>
      <c r="I55" s="4" t="s">
        <v>553</v>
      </c>
      <c r="K55" s="16"/>
      <c r="L55" s="21" t="str" cm="1">
        <f t="array" ref="L55">_xlfn.IFS(F55&lt;=2,"Poor",F55&lt;3,"Marginal",F55&lt;4,"Good",F55&gt;=4,"Excellent")</f>
        <v>Excellent</v>
      </c>
      <c r="M55" s="21" t="str" cm="1">
        <f t="array" ref="M55:O55">_xlfn.XLOOKUP(A55,REF_Employees!A55:A134,REF_Employees!C55:E134)</f>
        <v>Senior</v>
      </c>
      <c r="N55" s="21" t="str">
        <v>A. Singh</v>
      </c>
      <c r="O55" s="21" t="str">
        <v>London</v>
      </c>
      <c r="P55" s="21" t="str">
        <f>VLOOKUP(A55,REF_Employees!A55:D137,4)</f>
        <v>A. Singh</v>
      </c>
    </row>
    <row r="56" spans="1:16">
      <c r="A56" s="4" t="s">
        <v>1000</v>
      </c>
      <c r="B56" s="4" t="s">
        <v>1141</v>
      </c>
      <c r="C56" s="4" t="s">
        <v>833</v>
      </c>
      <c r="D56" s="2">
        <v>44084</v>
      </c>
      <c r="E56" s="10">
        <v>61414</v>
      </c>
      <c r="F56" s="4">
        <v>2.9</v>
      </c>
      <c r="G56" s="4" t="s">
        <v>994</v>
      </c>
      <c r="H56" s="4" t="s">
        <v>779</v>
      </c>
      <c r="I56" s="4" t="s">
        <v>357</v>
      </c>
      <c r="K56" s="16"/>
      <c r="L56" s="21" t="str" cm="1">
        <f t="array" ref="L56">_xlfn.IFS(F56&lt;=2,"Poor",F56&lt;3,"Marginal",F56&lt;4,"Good",F56&gt;=4,"Excellent")</f>
        <v>Marginal</v>
      </c>
      <c r="M56" s="21" t="str" cm="1">
        <f t="array" ref="M56:O56">_xlfn.XLOOKUP(A56,REF_Employees!A56:A135,REF_Employees!C56:E135)</f>
        <v>Mid</v>
      </c>
      <c r="N56" s="21" t="str">
        <v>J. Carter</v>
      </c>
      <c r="O56" s="21" t="str">
        <v>Cardiff</v>
      </c>
      <c r="P56" s="21" t="str">
        <f>VLOOKUP(A56,REF_Employees!A56:D138,4)</f>
        <v>J. Carter</v>
      </c>
    </row>
    <row r="57" spans="1:16">
      <c r="A57" s="4" t="s">
        <v>1005</v>
      </c>
      <c r="B57" s="4" t="s">
        <v>1142</v>
      </c>
      <c r="C57" s="4" t="s">
        <v>884</v>
      </c>
      <c r="D57" s="2">
        <v>44034</v>
      </c>
      <c r="E57" s="10">
        <v>31072</v>
      </c>
      <c r="F57" s="4">
        <v>3.7</v>
      </c>
      <c r="G57" s="4" t="s">
        <v>999</v>
      </c>
      <c r="H57" s="4" t="s">
        <v>766</v>
      </c>
      <c r="I57" s="4" t="s">
        <v>562</v>
      </c>
      <c r="K57" s="16"/>
      <c r="L57" s="21" t="str" cm="1">
        <f t="array" ref="L57">_xlfn.IFS(F57&lt;=2,"Poor",F57&lt;3,"Marginal",F57&lt;4,"Good",F57&gt;=4,"Excellent")</f>
        <v>Good</v>
      </c>
      <c r="M57" s="21" t="str" cm="1">
        <f t="array" ref="M57:O57">_xlfn.XLOOKUP(A57,REF_Employees!A57:A136,REF_Employees!C57:E136)</f>
        <v>Junior</v>
      </c>
      <c r="N57" s="21" t="str">
        <v>A. Singh</v>
      </c>
      <c r="O57" s="21" t="str">
        <v>Manchester</v>
      </c>
      <c r="P57" s="21" t="str">
        <f>VLOOKUP(A57,REF_Employees!A57:D139,4)</f>
        <v>A. Singh</v>
      </c>
    </row>
    <row r="58" spans="1:16">
      <c r="A58" s="4" t="s">
        <v>1009</v>
      </c>
      <c r="B58" s="4" t="s">
        <v>1143</v>
      </c>
      <c r="C58" s="4" t="s">
        <v>1116</v>
      </c>
      <c r="D58" s="2">
        <v>43175</v>
      </c>
      <c r="E58" s="10">
        <v>74808</v>
      </c>
      <c r="F58" s="4">
        <v>2.9</v>
      </c>
      <c r="G58" s="4" t="s">
        <v>1004</v>
      </c>
      <c r="H58" s="4" t="s">
        <v>766</v>
      </c>
      <c r="I58" s="4" t="s">
        <v>562</v>
      </c>
      <c r="K58" s="16"/>
      <c r="L58" s="21" t="str" cm="1">
        <f t="array" ref="L58">_xlfn.IFS(F58&lt;=2,"Poor",F58&lt;3,"Marginal",F58&lt;4,"Good",F58&gt;=4,"Excellent")</f>
        <v>Marginal</v>
      </c>
      <c r="M58" s="21" t="str" cm="1">
        <f t="array" ref="M58:O58">_xlfn.XLOOKUP(A58,REF_Employees!A58:A137,REF_Employees!C58:E137)</f>
        <v>Mid</v>
      </c>
      <c r="N58" s="21" t="str">
        <v>M. Patel</v>
      </c>
      <c r="O58" s="21" t="str">
        <v>Edinburgh</v>
      </c>
      <c r="P58" s="21" t="str">
        <f>VLOOKUP(A58,REF_Employees!A58:D140,4)</f>
        <v>M. Patel</v>
      </c>
    </row>
    <row r="59" spans="1:16">
      <c r="A59" s="4" t="s">
        <v>1013</v>
      </c>
      <c r="B59" s="4" t="s">
        <v>1006</v>
      </c>
      <c r="C59" s="4" t="s">
        <v>1116</v>
      </c>
      <c r="D59" s="2">
        <v>44978</v>
      </c>
      <c r="E59" s="10">
        <v>69388</v>
      </c>
      <c r="F59" s="4">
        <v>3.8</v>
      </c>
      <c r="G59" s="4" t="s">
        <v>1008</v>
      </c>
      <c r="H59" s="4" t="s">
        <v>798</v>
      </c>
      <c r="I59" s="4" t="s">
        <v>553</v>
      </c>
      <c r="K59" s="16"/>
      <c r="L59" s="21" t="str" cm="1">
        <f t="array" ref="L59">_xlfn.IFS(F59&lt;=2,"Poor",F59&lt;3,"Marginal",F59&lt;4,"Good",F59&gt;=4,"Excellent")</f>
        <v>Good</v>
      </c>
      <c r="M59" s="21" t="str" cm="1">
        <f t="array" ref="M59:O59">_xlfn.XLOOKUP(A59,REF_Employees!A59:A138,REF_Employees!C59:E138)</f>
        <v>Lead</v>
      </c>
      <c r="N59" s="21" t="str">
        <v>J. Carter</v>
      </c>
      <c r="O59" s="21" t="str">
        <v>Edinburgh</v>
      </c>
      <c r="P59" s="21" t="str">
        <f>VLOOKUP(A59,REF_Employees!A59:D141,4)</f>
        <v>J. Carter</v>
      </c>
    </row>
    <row r="60" spans="1:16">
      <c r="A60" s="4" t="s">
        <v>1018</v>
      </c>
      <c r="B60" s="4" t="s">
        <v>1010</v>
      </c>
      <c r="C60" s="4" t="s">
        <v>884</v>
      </c>
      <c r="D60" s="2">
        <v>44299</v>
      </c>
      <c r="E60" s="10">
        <v>45514</v>
      </c>
      <c r="F60" s="4">
        <v>2.2000000000000002</v>
      </c>
      <c r="G60" s="4" t="s">
        <v>1012</v>
      </c>
      <c r="H60" s="4" t="s">
        <v>766</v>
      </c>
      <c r="I60" s="4" t="s">
        <v>555</v>
      </c>
      <c r="K60" s="16"/>
      <c r="L60" s="21" t="str" cm="1">
        <f t="array" ref="L60">_xlfn.IFS(F60&lt;=2,"Poor",F60&lt;3,"Marginal",F60&lt;4,"Good",F60&gt;=4,"Excellent")</f>
        <v>Marginal</v>
      </c>
      <c r="M60" s="21" t="str" cm="1">
        <f t="array" ref="M60:O60">_xlfn.XLOOKUP(A60,REF_Employees!A60:A139,REF_Employees!C60:E139)</f>
        <v>Senior</v>
      </c>
      <c r="N60" s="21" t="str">
        <v>T. Williams</v>
      </c>
      <c r="O60" s="21" t="str">
        <v>Manchester</v>
      </c>
      <c r="P60" s="21" t="str">
        <f>VLOOKUP(A60,REF_Employees!A60:D142,4)</f>
        <v>T. Williams</v>
      </c>
    </row>
    <row r="61" spans="1:16">
      <c r="A61" s="4" t="s">
        <v>1022</v>
      </c>
      <c r="B61" s="4" t="s">
        <v>1144</v>
      </c>
      <c r="C61" s="4" t="s">
        <v>833</v>
      </c>
      <c r="D61" s="2">
        <v>44566</v>
      </c>
      <c r="E61" s="10">
        <v>29897</v>
      </c>
      <c r="F61" s="4">
        <v>1.7</v>
      </c>
      <c r="G61" s="4" t="s">
        <v>1017</v>
      </c>
      <c r="H61" s="4" t="s">
        <v>773</v>
      </c>
      <c r="I61" s="4" t="s">
        <v>192</v>
      </c>
      <c r="K61" s="16"/>
      <c r="L61" s="21" t="str" cm="1">
        <f t="array" ref="L61">_xlfn.IFS(F61&lt;=2,"Poor",F61&lt;3,"Marginal",F61&lt;4,"Good",F61&gt;=4,"Excellent")</f>
        <v>Poor</v>
      </c>
      <c r="M61" s="21" t="str" cm="1">
        <f t="array" ref="M61:O61">_xlfn.XLOOKUP(A61,REF_Employees!A61:A140,REF_Employees!C61:E140)</f>
        <v>Lead</v>
      </c>
      <c r="N61" s="21" t="str">
        <v>R. Okafor</v>
      </c>
      <c r="O61" s="21" t="str">
        <v>Cardiff</v>
      </c>
      <c r="P61" s="21" t="str">
        <f>VLOOKUP(A61,REF_Employees!A61:D143,4)</f>
        <v>R. Okafor</v>
      </c>
    </row>
    <row r="62" spans="1:16">
      <c r="A62" s="4" t="s">
        <v>1026</v>
      </c>
      <c r="B62" s="4" t="s">
        <v>1145</v>
      </c>
      <c r="C62" s="4" t="s">
        <v>884</v>
      </c>
      <c r="D62" s="2">
        <v>42792</v>
      </c>
      <c r="E62" s="10">
        <v>72809</v>
      </c>
      <c r="F62" s="4">
        <v>3.2</v>
      </c>
      <c r="G62" s="4" t="s">
        <v>1021</v>
      </c>
      <c r="H62" s="4" t="s">
        <v>773</v>
      </c>
      <c r="I62" s="4" t="s">
        <v>192</v>
      </c>
      <c r="K62" s="16"/>
      <c r="L62" s="21" t="str" cm="1">
        <f t="array" ref="L62">_xlfn.IFS(F62&lt;=2,"Poor",F62&lt;3,"Marginal",F62&lt;4,"Good",F62&gt;=4,"Excellent")</f>
        <v>Good</v>
      </c>
      <c r="M62" s="21" t="str" cm="1">
        <f t="array" ref="M62:O62">_xlfn.XLOOKUP(A62,REF_Employees!A62:A141,REF_Employees!C62:E141)</f>
        <v>Manager</v>
      </c>
      <c r="N62" s="21" t="str">
        <v>L. Bennett</v>
      </c>
      <c r="O62" s="21" t="str">
        <v>Cardiff</v>
      </c>
      <c r="P62" s="21" t="str">
        <f>VLOOKUP(A62,REF_Employees!A62:D144,4)</f>
        <v>L. Bennett</v>
      </c>
    </row>
    <row r="63" spans="1:16">
      <c r="A63" s="4" t="s">
        <v>1030</v>
      </c>
      <c r="B63" s="4" t="s">
        <v>1146</v>
      </c>
      <c r="C63" s="4" t="s">
        <v>871</v>
      </c>
      <c r="D63" s="2">
        <v>42335</v>
      </c>
      <c r="E63" s="10">
        <v>78671</v>
      </c>
      <c r="F63" s="4">
        <v>1.3</v>
      </c>
      <c r="G63" s="4" t="s">
        <v>1025</v>
      </c>
      <c r="H63" s="4" t="s">
        <v>798</v>
      </c>
      <c r="I63" s="4" t="s">
        <v>357</v>
      </c>
      <c r="K63" s="16"/>
      <c r="L63" s="21" t="str" cm="1">
        <f t="array" ref="L63">_xlfn.IFS(F63&lt;=2,"Poor",F63&lt;3,"Marginal",F63&lt;4,"Good",F63&gt;=4,"Excellent")</f>
        <v>Poor</v>
      </c>
      <c r="M63" s="21" t="str" cm="1">
        <f t="array" ref="M63:O63">_xlfn.XLOOKUP(A63,REF_Employees!A63:A142,REF_Employees!C63:E142)</f>
        <v>Manager</v>
      </c>
      <c r="N63" s="21" t="str">
        <v>S. Hughes</v>
      </c>
      <c r="O63" s="21" t="str">
        <v>London</v>
      </c>
      <c r="P63" s="21" t="str">
        <f>VLOOKUP(A63,REF_Employees!A63:D145,4)</f>
        <v>S. Hughes</v>
      </c>
    </row>
    <row r="64" spans="1:16">
      <c r="A64" s="4" t="s">
        <v>1035</v>
      </c>
      <c r="B64" s="4" t="s">
        <v>1147</v>
      </c>
      <c r="C64" s="4" t="s">
        <v>763</v>
      </c>
      <c r="D64" s="2">
        <v>43406</v>
      </c>
      <c r="E64" s="10">
        <v>34189</v>
      </c>
      <c r="F64" s="4">
        <v>4.3</v>
      </c>
      <c r="G64" s="4" t="s">
        <v>1029</v>
      </c>
      <c r="H64" s="4" t="s">
        <v>779</v>
      </c>
      <c r="I64" s="4" t="s">
        <v>562</v>
      </c>
      <c r="K64" s="16"/>
      <c r="L64" s="21" t="str" cm="1">
        <f t="array" ref="L64">_xlfn.IFS(F64&lt;=2,"Poor",F64&lt;3,"Marginal",F64&lt;4,"Good",F64&gt;=4,"Excellent")</f>
        <v>Excellent</v>
      </c>
      <c r="M64" s="21" t="str" cm="1">
        <f t="array" ref="M64:O64">_xlfn.XLOOKUP(A64,REF_Employees!A64:A143,REF_Employees!C64:E143)</f>
        <v>Lead</v>
      </c>
      <c r="N64" s="21" t="str">
        <v>T. Williams</v>
      </c>
      <c r="O64" s="21" t="str">
        <v>London</v>
      </c>
      <c r="P64" s="21" t="str">
        <f>VLOOKUP(A64,REF_Employees!A64:D146,4)</f>
        <v>T. Williams</v>
      </c>
    </row>
    <row r="65" spans="1:16">
      <c r="A65" s="4" t="s">
        <v>1038</v>
      </c>
      <c r="B65" s="4" t="s">
        <v>1031</v>
      </c>
      <c r="C65" s="4" t="s">
        <v>792</v>
      </c>
      <c r="D65" s="2">
        <v>44218</v>
      </c>
      <c r="E65" s="10">
        <v>65186</v>
      </c>
      <c r="F65" s="4">
        <v>2.9</v>
      </c>
      <c r="G65" s="4" t="s">
        <v>1034</v>
      </c>
      <c r="H65" s="4" t="s">
        <v>773</v>
      </c>
      <c r="I65" s="4" t="s">
        <v>510</v>
      </c>
      <c r="K65" s="16"/>
      <c r="L65" s="21" t="str" cm="1">
        <f t="array" ref="L65">_xlfn.IFS(F65&lt;=2,"Poor",F65&lt;3,"Marginal",F65&lt;4,"Good",F65&gt;=4,"Excellent")</f>
        <v>Marginal</v>
      </c>
      <c r="M65" s="21" t="str" cm="1">
        <f t="array" ref="M65:O65">_xlfn.XLOOKUP(A65,REF_Employees!A65:A144,REF_Employees!C65:E144)</f>
        <v>Mid</v>
      </c>
      <c r="N65" s="21" t="str">
        <v>S. Hughes</v>
      </c>
      <c r="O65" s="21" t="str">
        <v>Birmingham</v>
      </c>
      <c r="P65" s="21" t="str">
        <f>VLOOKUP(A65,REF_Employees!A65:D147,4)</f>
        <v>S. Hughes</v>
      </c>
    </row>
    <row r="66" spans="1:16">
      <c r="A66" s="4" t="s">
        <v>1042</v>
      </c>
      <c r="B66" s="4" t="s">
        <v>587</v>
      </c>
      <c r="C66" s="4" t="s">
        <v>884</v>
      </c>
      <c r="D66" s="2">
        <v>44592</v>
      </c>
      <c r="E66" s="10">
        <v>30971</v>
      </c>
      <c r="F66" s="4">
        <v>2</v>
      </c>
      <c r="G66" s="4" t="s">
        <v>1037</v>
      </c>
      <c r="H66" s="4" t="s">
        <v>784</v>
      </c>
      <c r="I66" s="4" t="s">
        <v>555</v>
      </c>
      <c r="K66" s="16"/>
      <c r="L66" s="21" t="str" cm="1">
        <f t="array" ref="L66">_xlfn.IFS(F66&lt;=2,"Poor",F66&lt;3,"Marginal",F66&lt;4,"Good",F66&gt;=4,"Excellent")</f>
        <v>Poor</v>
      </c>
      <c r="M66" s="21" t="str" cm="1">
        <f t="array" ref="M66:O66">_xlfn.XLOOKUP(A66,REF_Employees!A66:A145,REF_Employees!C66:E145)</f>
        <v>Director</v>
      </c>
      <c r="N66" s="21" t="str">
        <v>M. Patel</v>
      </c>
      <c r="O66" s="21" t="str">
        <v>Belfast</v>
      </c>
      <c r="P66" s="21" t="str">
        <f>VLOOKUP(A66,REF_Employees!A66:D148,4)</f>
        <v>M. Patel</v>
      </c>
    </row>
    <row r="67" spans="1:16">
      <c r="A67" s="4" t="s">
        <v>1046</v>
      </c>
      <c r="B67" s="4" t="s">
        <v>1039</v>
      </c>
      <c r="C67" s="4" t="s">
        <v>889</v>
      </c>
      <c r="D67" s="2">
        <v>44422</v>
      </c>
      <c r="E67" s="10">
        <v>41048</v>
      </c>
      <c r="F67" s="4">
        <v>2.2000000000000002</v>
      </c>
      <c r="G67" s="4" t="s">
        <v>1041</v>
      </c>
      <c r="H67" s="4" t="s">
        <v>766</v>
      </c>
      <c r="I67" s="4" t="s">
        <v>557</v>
      </c>
      <c r="K67" s="16"/>
      <c r="L67" s="21" t="str" cm="1">
        <f t="array" ref="L67">_xlfn.IFS(F67&lt;=2,"Poor",F67&lt;3,"Marginal",F67&lt;4,"Good",F67&gt;=4,"Excellent")</f>
        <v>Marginal</v>
      </c>
      <c r="M67" s="21" t="str" cm="1">
        <f t="array" ref="M67:O67">_xlfn.XLOOKUP(A67,REF_Employees!A67:A146,REF_Employees!C67:E146)</f>
        <v>Junior</v>
      </c>
      <c r="N67" s="21" t="str">
        <v>J. Carter</v>
      </c>
      <c r="O67" s="21" t="str">
        <v>Birmingham</v>
      </c>
      <c r="P67" s="21" t="str">
        <f>VLOOKUP(A67,REF_Employees!A67:D149,4)</f>
        <v>J. Carter</v>
      </c>
    </row>
    <row r="68" spans="1:16">
      <c r="A68" s="4" t="s">
        <v>1049</v>
      </c>
      <c r="B68" s="4" t="s">
        <v>1043</v>
      </c>
      <c r="C68" s="4" t="s">
        <v>763</v>
      </c>
      <c r="D68" s="2">
        <v>42238</v>
      </c>
      <c r="E68" s="10">
        <v>59280</v>
      </c>
      <c r="F68" s="4">
        <v>4.5</v>
      </c>
      <c r="G68" s="4" t="s">
        <v>1045</v>
      </c>
      <c r="H68" s="4" t="s">
        <v>766</v>
      </c>
      <c r="I68" s="4" t="s">
        <v>553</v>
      </c>
      <c r="K68" s="16"/>
      <c r="L68" s="21" t="str" cm="1">
        <f t="array" ref="L68">_xlfn.IFS(F68&lt;=2,"Poor",F68&lt;3,"Marginal",F68&lt;4,"Good",F68&gt;=4,"Excellent")</f>
        <v>Excellent</v>
      </c>
      <c r="M68" s="21" t="str" cm="1">
        <f t="array" ref="M68:O68">_xlfn.XLOOKUP(A68,REF_Employees!A68:A147,REF_Employees!C68:E147)</f>
        <v>Junior</v>
      </c>
      <c r="N68" s="21" t="str">
        <v>M. Patel</v>
      </c>
      <c r="O68" s="21" t="str">
        <v>Belfast</v>
      </c>
      <c r="P68" s="21" t="str">
        <f>VLOOKUP(A68,REF_Employees!A68:D150,4)</f>
        <v>M. Patel</v>
      </c>
    </row>
    <row r="69" spans="1:16">
      <c r="A69" s="4" t="s">
        <v>1053</v>
      </c>
      <c r="B69" s="4" t="s">
        <v>1118</v>
      </c>
      <c r="C69" s="4" t="s">
        <v>833</v>
      </c>
      <c r="D69" s="2">
        <v>42970</v>
      </c>
      <c r="E69" s="10">
        <v>25648</v>
      </c>
      <c r="F69" s="4">
        <v>3.9</v>
      </c>
      <c r="G69" s="4" t="s">
        <v>797</v>
      </c>
      <c r="H69" s="4" t="s">
        <v>798</v>
      </c>
      <c r="I69" s="4" t="s">
        <v>71</v>
      </c>
      <c r="K69" s="16"/>
      <c r="L69" s="21" t="str" cm="1">
        <f t="array" ref="L69">_xlfn.IFS(F69&lt;=2,"Poor",F69&lt;3,"Marginal",F69&lt;4,"Good",F69&gt;=4,"Excellent")</f>
        <v>Good</v>
      </c>
      <c r="M69" s="21" t="str" cm="1">
        <f t="array" ref="M69:O69">_xlfn.XLOOKUP(A69,REF_Employees!A69:A148,REF_Employees!C69:E148)</f>
        <v>Lead</v>
      </c>
      <c r="N69" s="21" t="str">
        <v>S. Hughes</v>
      </c>
      <c r="O69" s="21" t="str">
        <v>Birmingham</v>
      </c>
      <c r="P69" s="21" t="str">
        <f>VLOOKUP(A69,REF_Employees!A69:D151,4)</f>
        <v>S. Hughes</v>
      </c>
    </row>
    <row r="70" spans="1:16">
      <c r="A70" s="4" t="s">
        <v>1057</v>
      </c>
      <c r="B70" s="4" t="s">
        <v>1118</v>
      </c>
      <c r="C70" s="4" t="s">
        <v>833</v>
      </c>
      <c r="D70" s="2">
        <v>42970</v>
      </c>
      <c r="E70" s="10">
        <v>54915</v>
      </c>
      <c r="F70" s="4">
        <v>3.9</v>
      </c>
      <c r="G70" s="4" t="s">
        <v>797</v>
      </c>
      <c r="H70" s="4" t="s">
        <v>798</v>
      </c>
      <c r="I70" s="4" t="s">
        <v>71</v>
      </c>
      <c r="K70" s="16"/>
      <c r="L70" s="21" t="str" cm="1">
        <f t="array" ref="L70">_xlfn.IFS(F70&lt;=2,"Poor",F70&lt;3,"Marginal",F70&lt;4,"Good",F70&gt;=4,"Excellent")</f>
        <v>Good</v>
      </c>
      <c r="M70" s="21" t="str" cm="1">
        <f t="array" ref="M70:O70">_xlfn.XLOOKUP(A70,REF_Employees!A70:A149,REF_Employees!C70:E149)</f>
        <v>Junior</v>
      </c>
      <c r="N70" s="21" t="str">
        <v>D. Morgan</v>
      </c>
      <c r="O70" s="21" t="str">
        <v>London</v>
      </c>
      <c r="P70" s="21" t="str">
        <f>VLOOKUP(A70,REF_Employees!A70:D152,4)</f>
        <v>D. Morgan</v>
      </c>
    </row>
    <row r="71" spans="1:16">
      <c r="A71" s="4" t="s">
        <v>1062</v>
      </c>
      <c r="B71" s="4" t="s">
        <v>1050</v>
      </c>
      <c r="C71" s="4" t="s">
        <v>1116</v>
      </c>
      <c r="D71" s="2">
        <v>42733</v>
      </c>
      <c r="E71" s="10">
        <v>37679</v>
      </c>
      <c r="F71" s="4">
        <v>4.9000000000000004</v>
      </c>
      <c r="G71" s="4" t="s">
        <v>1119</v>
      </c>
      <c r="H71" s="4" t="s">
        <v>766</v>
      </c>
      <c r="I71" s="4" t="s">
        <v>357</v>
      </c>
      <c r="K71" s="16"/>
      <c r="L71" s="21" t="str" cm="1">
        <f t="array" ref="L71">_xlfn.IFS(F71&lt;=2,"Poor",F71&lt;3,"Marginal",F71&lt;4,"Good",F71&gt;=4,"Excellent")</f>
        <v>Excellent</v>
      </c>
      <c r="M71" s="21" t="str" cm="1">
        <f t="array" ref="M71:O71">_xlfn.XLOOKUP(A71,REF_Employees!A71:A150,REF_Employees!C71:E150)</f>
        <v>Junior</v>
      </c>
      <c r="N71" s="21" t="str">
        <v>R. Okafor</v>
      </c>
      <c r="O71" s="21" t="str">
        <v>Edinburgh</v>
      </c>
      <c r="P71" s="21" t="str">
        <f>VLOOKUP(A71,REF_Employees!A71:D153,4)</f>
        <v>R. Okafor</v>
      </c>
    </row>
    <row r="72" spans="1:16">
      <c r="A72" s="4" t="s">
        <v>1066</v>
      </c>
      <c r="B72" s="4" t="s">
        <v>1148</v>
      </c>
      <c r="C72" s="4" t="s">
        <v>884</v>
      </c>
      <c r="D72" s="2">
        <v>42752</v>
      </c>
      <c r="E72" s="10">
        <v>67033</v>
      </c>
      <c r="F72" s="4">
        <v>1.6</v>
      </c>
      <c r="G72" s="4" t="s">
        <v>1056</v>
      </c>
      <c r="H72" s="4" t="s">
        <v>773</v>
      </c>
      <c r="I72" s="4" t="s">
        <v>562</v>
      </c>
      <c r="K72" s="16"/>
      <c r="L72" s="21" t="str" cm="1">
        <f t="array" ref="L72">_xlfn.IFS(F72&lt;=2,"Poor",F72&lt;3,"Marginal",F72&lt;4,"Good",F72&gt;=4,"Excellent")</f>
        <v>Poor</v>
      </c>
      <c r="M72" s="21" t="str" cm="1">
        <f t="array" ref="M72:O72">_xlfn.XLOOKUP(A72,REF_Employees!A72:A151,REF_Employees!C72:E151)</f>
        <v>Mid</v>
      </c>
      <c r="N72" s="21" t="str">
        <v>T. Williams</v>
      </c>
      <c r="O72" s="21" t="str">
        <v>Birmingham</v>
      </c>
      <c r="P72" s="21" t="str">
        <f>VLOOKUP(A72,REF_Employees!A72:D154,4)</f>
        <v>T. Williams</v>
      </c>
    </row>
    <row r="73" spans="1:16">
      <c r="A73" s="4" t="s">
        <v>1070</v>
      </c>
      <c r="B73" s="4" t="s">
        <v>1149</v>
      </c>
      <c r="C73" s="4" t="s">
        <v>1113</v>
      </c>
      <c r="D73" s="2">
        <v>42619</v>
      </c>
      <c r="E73" s="10">
        <v>49300</v>
      </c>
      <c r="F73" s="4">
        <v>2.9</v>
      </c>
      <c r="G73" s="4" t="s">
        <v>1061</v>
      </c>
      <c r="H73" s="4" t="s">
        <v>779</v>
      </c>
      <c r="I73" s="4" t="s">
        <v>71</v>
      </c>
      <c r="K73" s="16"/>
      <c r="L73" s="21" t="str" cm="1">
        <f t="array" ref="L73">_xlfn.IFS(F73&lt;=2,"Poor",F73&lt;3,"Marginal",F73&lt;4,"Good",F73&gt;=4,"Excellent")</f>
        <v>Marginal</v>
      </c>
      <c r="M73" s="21" t="str" cm="1">
        <f t="array" ref="M73:O73">_xlfn.XLOOKUP(A73,REF_Employees!A73:A152,REF_Employees!C73:E152)</f>
        <v>Lead</v>
      </c>
      <c r="N73" s="21" t="str">
        <v>S. Hughes</v>
      </c>
      <c r="O73" s="21" t="str">
        <v>London</v>
      </c>
      <c r="P73" s="21" t="str">
        <f>VLOOKUP(A73,REF_Employees!A73:D155,4)</f>
        <v>S. Hughes</v>
      </c>
    </row>
    <row r="74" spans="1:16">
      <c r="A74" s="4" t="s">
        <v>1075</v>
      </c>
      <c r="B74" s="4" t="s">
        <v>343</v>
      </c>
      <c r="C74" s="4" t="s">
        <v>763</v>
      </c>
      <c r="D74" s="2">
        <v>44238</v>
      </c>
      <c r="E74" s="10">
        <v>50969</v>
      </c>
      <c r="F74" s="4">
        <v>2.4</v>
      </c>
      <c r="G74" s="4" t="s">
        <v>1065</v>
      </c>
      <c r="H74" s="4" t="s">
        <v>784</v>
      </c>
      <c r="I74" s="4" t="s">
        <v>192</v>
      </c>
      <c r="K74" s="16"/>
      <c r="L74" s="21" t="str" cm="1">
        <f t="array" ref="L74">_xlfn.IFS(F74&lt;=2,"Poor",F74&lt;3,"Marginal",F74&lt;4,"Good",F74&gt;=4,"Excellent")</f>
        <v>Marginal</v>
      </c>
      <c r="M74" s="21" t="str" cm="1">
        <f t="array" ref="M74:O74">_xlfn.XLOOKUP(A74,REF_Employees!A74:A153,REF_Employees!C74:E153)</f>
        <v>Junior</v>
      </c>
      <c r="N74" s="21" t="str">
        <v>M. Patel</v>
      </c>
      <c r="O74" s="21" t="str">
        <v>Manchester</v>
      </c>
      <c r="P74" s="21" t="str">
        <f>VLOOKUP(A74,REF_Employees!A74:D156,4)</f>
        <v>M. Patel</v>
      </c>
    </row>
    <row r="75" spans="1:16">
      <c r="A75" s="4" t="s">
        <v>1079</v>
      </c>
      <c r="B75" s="4" t="s">
        <v>290</v>
      </c>
      <c r="C75" s="4" t="s">
        <v>884</v>
      </c>
      <c r="D75" s="2">
        <v>43615</v>
      </c>
      <c r="E75" s="10">
        <v>63234</v>
      </c>
      <c r="F75" s="4">
        <v>3.6</v>
      </c>
      <c r="G75" s="4" t="s">
        <v>1069</v>
      </c>
      <c r="H75" s="4" t="s">
        <v>779</v>
      </c>
      <c r="I75" s="4" t="s">
        <v>71</v>
      </c>
      <c r="K75" s="16"/>
      <c r="L75" s="21" t="str" cm="1">
        <f t="array" ref="L75">_xlfn.IFS(F75&lt;=2,"Poor",F75&lt;3,"Marginal",F75&lt;4,"Good",F75&gt;=4,"Excellent")</f>
        <v>Good</v>
      </c>
      <c r="M75" s="21" t="str" cm="1">
        <f t="array" ref="M75:O75">_xlfn.XLOOKUP(A75,REF_Employees!A75:A154,REF_Employees!C75:E154)</f>
        <v>Lead</v>
      </c>
      <c r="N75" s="21" t="str">
        <v>S. Hughes</v>
      </c>
      <c r="O75" s="21" t="str">
        <v>Edinburgh</v>
      </c>
      <c r="P75" s="21" t="str">
        <f>VLOOKUP(A75,REF_Employees!A75:D157,4)</f>
        <v>S. Hughes</v>
      </c>
    </row>
    <row r="76" spans="1:16">
      <c r="A76" s="4" t="s">
        <v>1083</v>
      </c>
      <c r="B76" s="4" t="s">
        <v>1150</v>
      </c>
      <c r="C76" s="4" t="s">
        <v>1113</v>
      </c>
      <c r="D76" s="2">
        <v>43150</v>
      </c>
      <c r="E76" s="10">
        <v>49207</v>
      </c>
      <c r="F76" s="4">
        <v>1.2</v>
      </c>
      <c r="G76" s="4" t="s">
        <v>1074</v>
      </c>
      <c r="H76" s="4" t="s">
        <v>798</v>
      </c>
      <c r="I76" s="4" t="s">
        <v>192</v>
      </c>
      <c r="K76" s="16"/>
      <c r="L76" s="21" t="str" cm="1">
        <f t="array" ref="L76">_xlfn.IFS(F76&lt;=2,"Poor",F76&lt;3,"Marginal",F76&lt;4,"Good",F76&gt;=4,"Excellent")</f>
        <v>Poor</v>
      </c>
      <c r="M76" s="21" t="str" cm="1">
        <f t="array" ref="M76:O76">_xlfn.XLOOKUP(A76,REF_Employees!A76:A155,REF_Employees!C76:E155)</f>
        <v>Lead</v>
      </c>
      <c r="N76" s="21" t="str">
        <v>D. Morgan</v>
      </c>
      <c r="O76" s="21" t="str">
        <v>Manchester</v>
      </c>
      <c r="P76" s="21" t="str">
        <f>VLOOKUP(A76,REF_Employees!A76:D158,4)</f>
        <v>D. Morgan</v>
      </c>
    </row>
    <row r="77" spans="1:16">
      <c r="A77" s="4" t="s">
        <v>1087</v>
      </c>
      <c r="B77" s="4" t="s">
        <v>1076</v>
      </c>
      <c r="C77" s="4" t="s">
        <v>1113</v>
      </c>
      <c r="D77" s="2">
        <v>44676</v>
      </c>
      <c r="E77" s="10">
        <v>71082</v>
      </c>
      <c r="F77" s="4">
        <v>4.9000000000000004</v>
      </c>
      <c r="G77" s="4" t="s">
        <v>1078</v>
      </c>
      <c r="H77" s="4" t="s">
        <v>779</v>
      </c>
      <c r="I77" s="4" t="s">
        <v>192</v>
      </c>
      <c r="K77" s="16"/>
      <c r="L77" s="21" t="str" cm="1">
        <f t="array" ref="L77">_xlfn.IFS(F77&lt;=2,"Poor",F77&lt;3,"Marginal",F77&lt;4,"Good",F77&gt;=4,"Excellent")</f>
        <v>Excellent</v>
      </c>
      <c r="M77" s="21" t="str" cm="1">
        <f t="array" ref="M77:O77">_xlfn.XLOOKUP(A77,REF_Employees!A77:A156,REF_Employees!C77:E156)</f>
        <v>Lead</v>
      </c>
      <c r="N77" s="21" t="str">
        <v>L. Bennett</v>
      </c>
      <c r="O77" s="21" t="str">
        <v>Birmingham</v>
      </c>
      <c r="P77" s="21" t="str">
        <f>VLOOKUP(A77,REF_Employees!A77:D159,4)</f>
        <v>L. Bennett</v>
      </c>
    </row>
    <row r="78" spans="1:16">
      <c r="A78" s="4" t="s">
        <v>1091</v>
      </c>
      <c r="B78" s="4" t="s">
        <v>1151</v>
      </c>
      <c r="C78" s="4" t="s">
        <v>884</v>
      </c>
      <c r="D78" s="2">
        <v>44187</v>
      </c>
      <c r="E78" s="10">
        <v>50955</v>
      </c>
      <c r="F78" s="4">
        <v>2.4</v>
      </c>
      <c r="G78" s="4" t="s">
        <v>1082</v>
      </c>
      <c r="H78" s="4" t="s">
        <v>779</v>
      </c>
      <c r="I78" s="4" t="s">
        <v>192</v>
      </c>
      <c r="K78" s="16"/>
      <c r="L78" s="21" t="str" cm="1">
        <f t="array" ref="L78">_xlfn.IFS(F78&lt;=2,"Poor",F78&lt;3,"Marginal",F78&lt;4,"Good",F78&gt;=4,"Excellent")</f>
        <v>Marginal</v>
      </c>
      <c r="M78" s="21" t="str" cm="1">
        <f t="array" ref="M78:O78">_xlfn.XLOOKUP(A78,REF_Employees!A78:A157,REF_Employees!C78:E157)</f>
        <v>Director</v>
      </c>
      <c r="N78" s="21" t="str">
        <v>T. Williams</v>
      </c>
      <c r="O78" s="21" t="str">
        <v>London</v>
      </c>
      <c r="P78" s="21" t="str">
        <f>VLOOKUP(A78,REF_Employees!A78:D160,4)</f>
        <v>T. Williams</v>
      </c>
    </row>
    <row r="79" spans="1:16">
      <c r="A79" s="4" t="s">
        <v>1094</v>
      </c>
      <c r="B79" s="4" t="s">
        <v>1152</v>
      </c>
      <c r="C79" s="4" t="s">
        <v>792</v>
      </c>
      <c r="D79" s="2">
        <v>42366</v>
      </c>
      <c r="E79" s="10">
        <v>34583</v>
      </c>
      <c r="F79" s="4">
        <v>2.9</v>
      </c>
      <c r="G79" s="4" t="s">
        <v>1086</v>
      </c>
      <c r="H79" s="4" t="s">
        <v>773</v>
      </c>
      <c r="I79" s="4" t="s">
        <v>562</v>
      </c>
      <c r="K79" s="16"/>
      <c r="L79" s="21" t="str" cm="1">
        <f t="array" ref="L79">_xlfn.IFS(F79&lt;=2,"Poor",F79&lt;3,"Marginal",F79&lt;4,"Good",F79&gt;=4,"Excellent")</f>
        <v>Marginal</v>
      </c>
      <c r="M79" s="21" t="str" cm="1">
        <f t="array" ref="M79:O79">_xlfn.XLOOKUP(A79,REF_Employees!A79:A158,REF_Employees!C79:E158)</f>
        <v>Lead</v>
      </c>
      <c r="N79" s="21" t="str">
        <v>L. Bennett</v>
      </c>
      <c r="O79" s="21" t="str">
        <v>Edinburgh</v>
      </c>
      <c r="P79" s="21" t="str">
        <f>VLOOKUP(A79,REF_Employees!A79:D161,4)</f>
        <v>L. Bennett</v>
      </c>
    </row>
    <row r="80" spans="1:16">
      <c r="A80" s="4" t="s">
        <v>1098</v>
      </c>
      <c r="B80" s="4" t="s">
        <v>1088</v>
      </c>
      <c r="C80" s="4" t="s">
        <v>792</v>
      </c>
      <c r="D80" s="2">
        <v>42646</v>
      </c>
      <c r="E80" s="10">
        <v>69803</v>
      </c>
      <c r="F80" s="4">
        <v>4.8</v>
      </c>
      <c r="G80" s="4" t="s">
        <v>1119</v>
      </c>
      <c r="H80" s="4" t="s">
        <v>766</v>
      </c>
      <c r="I80" s="4" t="s">
        <v>357</v>
      </c>
      <c r="K80" s="16"/>
      <c r="L80" s="21" t="str" cm="1">
        <f t="array" ref="L80">_xlfn.IFS(F80&lt;=2,"Poor",F80&lt;3,"Marginal",F80&lt;4,"Good",F80&gt;=4,"Excellent")</f>
        <v>Excellent</v>
      </c>
      <c r="M80" s="21" t="str" cm="1">
        <f t="array" ref="M80:O80">_xlfn.XLOOKUP(A80,REF_Employees!A80:A159,REF_Employees!C80:E159)</f>
        <v>Junior</v>
      </c>
      <c r="N80" s="21" t="str">
        <v>J. Carter</v>
      </c>
      <c r="O80" s="21" t="str">
        <v>Cardiff</v>
      </c>
      <c r="P80" s="21" t="str">
        <f>VLOOKUP(A80,REF_Employees!A80:D162,4)</f>
        <v>J. Carter</v>
      </c>
    </row>
    <row r="81" spans="1:16">
      <c r="A81" s="4" t="s">
        <v>1103</v>
      </c>
      <c r="B81" s="4" t="s">
        <v>1092</v>
      </c>
      <c r="C81" s="4" t="s">
        <v>1113</v>
      </c>
      <c r="D81" s="2">
        <v>43311</v>
      </c>
      <c r="E81" s="10">
        <v>22374</v>
      </c>
      <c r="F81" s="4">
        <v>3.2</v>
      </c>
      <c r="G81" s="4" t="s">
        <v>1119</v>
      </c>
      <c r="H81" s="4" t="s">
        <v>766</v>
      </c>
      <c r="I81" s="4" t="s">
        <v>557</v>
      </c>
      <c r="K81" s="16"/>
      <c r="L81" s="21" t="str" cm="1">
        <f t="array" ref="L81">_xlfn.IFS(F81&lt;=2,"Poor",F81&lt;3,"Marginal",F81&lt;4,"Good",F81&gt;=4,"Excellent")</f>
        <v>Good</v>
      </c>
      <c r="M81" s="21" t="str" cm="1">
        <f t="array" ref="M81:O81">_xlfn.XLOOKUP(A81,REF_Employees!A81:A160,REF_Employees!C81:E160)</f>
        <v>Manager</v>
      </c>
      <c r="N81" s="21" t="str">
        <v>J. Carter</v>
      </c>
      <c r="O81" s="21" t="str">
        <v>Manchester</v>
      </c>
      <c r="P81" s="21" t="str">
        <f>VLOOKUP(A81,REF_Employees!A81:D163,4)</f>
        <v>J. Carter</v>
      </c>
    </row>
    <row r="82" spans="1:16">
      <c r="A82" s="4" t="s">
        <v>1153</v>
      </c>
      <c r="B82" s="4" t="s">
        <v>1154</v>
      </c>
      <c r="C82" s="4" t="s">
        <v>1116</v>
      </c>
      <c r="D82" s="2">
        <v>42613</v>
      </c>
      <c r="E82" s="10">
        <v>50296</v>
      </c>
      <c r="F82" s="4">
        <v>4.5999999999999996</v>
      </c>
      <c r="G82" s="4" t="s">
        <v>1097</v>
      </c>
      <c r="H82" s="4" t="s">
        <v>798</v>
      </c>
      <c r="I82" s="4" t="s">
        <v>71</v>
      </c>
      <c r="K82" s="16"/>
      <c r="L82" s="21" t="str" cm="1">
        <f t="array" ref="L82">_xlfn.IFS(F82&lt;=2,"Poor",F82&lt;3,"Marginal",F82&lt;4,"Good",F82&gt;=4,"Excellent")</f>
        <v>Excellent</v>
      </c>
      <c r="M82" s="21" t="str" cm="1">
        <f t="array" ref="M82:O82">_xlfn.XLOOKUP(A82,REF_Employees!A82:A161,REF_Employees!C82:E161)</f>
        <v>Lead</v>
      </c>
      <c r="N82" s="21" t="str">
        <v>D. Morgan</v>
      </c>
      <c r="O82" s="21" t="str">
        <v>Manchester</v>
      </c>
      <c r="P82" s="21" t="str">
        <f>VLOOKUP(A82,REF_Employees!A82:D164,4)</f>
        <v>D. Morgan</v>
      </c>
    </row>
    <row r="83" spans="1:16">
      <c r="A83" s="4" t="s">
        <v>1155</v>
      </c>
      <c r="B83" s="4" t="s">
        <v>1156</v>
      </c>
      <c r="C83" s="4" t="s">
        <v>792</v>
      </c>
      <c r="D83" s="2">
        <v>44693</v>
      </c>
      <c r="E83" s="10">
        <v>41048</v>
      </c>
      <c r="F83" s="4">
        <v>4.4000000000000004</v>
      </c>
      <c r="G83" s="4" t="s">
        <v>1102</v>
      </c>
      <c r="H83" s="4" t="s">
        <v>766</v>
      </c>
      <c r="I83" s="4" t="s">
        <v>510</v>
      </c>
      <c r="K83" s="16"/>
      <c r="L83" s="21" t="str" cm="1">
        <f t="array" ref="L83">_xlfn.IFS(F83&lt;=2,"Poor",F83&lt;3,"Marginal",F83&lt;4,"Good",F83&gt;=4,"Excellent")</f>
        <v>Excellent</v>
      </c>
      <c r="M83" s="21" t="str" cm="1">
        <f t="array" ref="M83:O83">_xlfn.XLOOKUP(A83,REF_Employees!A83:A162,REF_Employees!C83:E162)</f>
        <v>Lead</v>
      </c>
      <c r="N83" s="21" t="str">
        <v>L. Bennett</v>
      </c>
      <c r="O83" s="21" t="str">
        <v>Edinburgh</v>
      </c>
      <c r="P83" s="21" t="str">
        <f>VLOOKUP(A83,REF_Employees!A83:D165,4)</f>
        <v>L. Bennett</v>
      </c>
    </row>
    <row r="84" spans="1:16">
      <c r="A84" s="4" t="s">
        <v>1157</v>
      </c>
      <c r="B84" s="4" t="s">
        <v>1104</v>
      </c>
      <c r="C84" s="4" t="s">
        <v>763</v>
      </c>
      <c r="D84" s="2">
        <v>43148</v>
      </c>
      <c r="E84" s="10">
        <v>65731</v>
      </c>
      <c r="F84" s="4">
        <v>2.5</v>
      </c>
      <c r="G84" s="4" t="s">
        <v>1107</v>
      </c>
      <c r="H84" s="4" t="s">
        <v>773</v>
      </c>
      <c r="I84" s="4" t="s">
        <v>553</v>
      </c>
      <c r="K84" s="16"/>
      <c r="L84" s="22" t="str" cm="1">
        <f t="array" ref="L84">_xlfn.IFS(F84&lt;=2,"Poor",F84&lt;3,"Marginal",F84&lt;4,"Good",F84&gt;=4,"Excellent")</f>
        <v>Marginal</v>
      </c>
      <c r="M84" s="22" t="str" cm="1">
        <f t="array" ref="M84:O84">_xlfn.XLOOKUP(A84,REF_Employees!A84:A163,REF_Employees!C84:E163)</f>
        <v>Manager</v>
      </c>
      <c r="N84" s="22" t="str">
        <v>J. Carter</v>
      </c>
      <c r="O84" s="22" t="str">
        <v>Manchester</v>
      </c>
      <c r="P84" s="22" t="str">
        <f>VLOOKUP(A84,REF_Employees!A84:D166,4)</f>
        <v>J. Carter</v>
      </c>
    </row>
  </sheetData>
  <mergeCells count="1">
    <mergeCell ref="M1:O1"/>
  </mergeCells>
  <conditionalFormatting sqref="E2:E8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8D23-D9B2-4510-87D5-5CC2369AF11B}">
  <dimension ref="A1:F41"/>
  <sheetViews>
    <sheetView workbookViewId="0">
      <selection activeCell="I10" sqref="I10"/>
    </sheetView>
  </sheetViews>
  <sheetFormatPr defaultRowHeight="15"/>
  <cols>
    <col min="1" max="1" width="11.140625" style="5" bestFit="1" customWidth="1"/>
    <col min="2" max="2" width="20.140625" style="5" bestFit="1" customWidth="1"/>
    <col min="3" max="3" width="15.140625" style="5" bestFit="1" customWidth="1"/>
    <col min="4" max="4" width="12" style="5" bestFit="1" customWidth="1"/>
    <col min="5" max="5" width="14" style="5" bestFit="1" customWidth="1"/>
    <col min="6" max="6" width="8.28515625" style="5" bestFit="1" customWidth="1"/>
  </cols>
  <sheetData>
    <row r="1" spans="1:6">
      <c r="A1" s="5" t="s">
        <v>1</v>
      </c>
      <c r="B1" s="5" t="s">
        <v>2</v>
      </c>
      <c r="C1" s="5" t="s">
        <v>550</v>
      </c>
      <c r="D1" s="5" t="s">
        <v>1158</v>
      </c>
      <c r="E1" s="5" t="s">
        <v>1159</v>
      </c>
      <c r="F1" s="5" t="s">
        <v>1160</v>
      </c>
    </row>
    <row r="2" spans="1:6">
      <c r="A2" s="5" t="s">
        <v>271</v>
      </c>
      <c r="B2" s="5" t="s">
        <v>272</v>
      </c>
      <c r="C2" s="5" t="s">
        <v>1161</v>
      </c>
      <c r="D2" s="5">
        <v>136</v>
      </c>
      <c r="E2" s="5">
        <v>11</v>
      </c>
      <c r="F2" s="5" t="s">
        <v>1162</v>
      </c>
    </row>
    <row r="3" spans="1:6">
      <c r="A3" s="5" t="s">
        <v>119</v>
      </c>
      <c r="B3" s="5" t="s">
        <v>120</v>
      </c>
      <c r="C3" s="5" t="s">
        <v>1163</v>
      </c>
      <c r="D3" s="5">
        <v>120</v>
      </c>
      <c r="E3" s="5">
        <v>22</v>
      </c>
      <c r="F3" s="5" t="s">
        <v>1164</v>
      </c>
    </row>
    <row r="4" spans="1:6">
      <c r="A4" s="5" t="s">
        <v>62</v>
      </c>
      <c r="B4" s="5" t="s">
        <v>63</v>
      </c>
      <c r="C4" s="5" t="s">
        <v>1165</v>
      </c>
      <c r="D4" s="5">
        <v>55</v>
      </c>
      <c r="E4" s="5">
        <v>13</v>
      </c>
      <c r="F4" s="5" t="s">
        <v>1164</v>
      </c>
    </row>
    <row r="5" spans="1:6">
      <c r="A5" s="5" t="s">
        <v>234</v>
      </c>
      <c r="B5" s="5" t="s">
        <v>235</v>
      </c>
      <c r="C5" s="5" t="s">
        <v>1163</v>
      </c>
      <c r="D5" s="5">
        <v>198</v>
      </c>
      <c r="E5" s="5">
        <v>7</v>
      </c>
      <c r="F5" s="5" t="s">
        <v>1166</v>
      </c>
    </row>
    <row r="6" spans="1:6">
      <c r="A6" s="5" t="s">
        <v>106</v>
      </c>
      <c r="B6" s="5" t="s">
        <v>107</v>
      </c>
      <c r="C6" s="5" t="s">
        <v>1167</v>
      </c>
      <c r="D6" s="5">
        <v>167</v>
      </c>
      <c r="E6" s="5">
        <v>11</v>
      </c>
      <c r="F6" s="5" t="s">
        <v>1166</v>
      </c>
    </row>
    <row r="7" spans="1:6">
      <c r="A7" s="5" t="s">
        <v>89</v>
      </c>
      <c r="B7" s="5" t="s">
        <v>90</v>
      </c>
      <c r="C7" s="5" t="s">
        <v>1167</v>
      </c>
      <c r="D7" s="5">
        <v>57</v>
      </c>
      <c r="E7" s="5">
        <v>10</v>
      </c>
      <c r="F7" s="5" t="s">
        <v>1162</v>
      </c>
    </row>
    <row r="8" spans="1:6">
      <c r="A8" s="5" t="s">
        <v>197</v>
      </c>
      <c r="B8" s="5" t="s">
        <v>198</v>
      </c>
      <c r="C8" s="5" t="s">
        <v>1168</v>
      </c>
      <c r="D8" s="5">
        <v>50</v>
      </c>
      <c r="E8" s="5">
        <v>9</v>
      </c>
      <c r="F8" s="5" t="s">
        <v>1166</v>
      </c>
    </row>
    <row r="9" spans="1:6">
      <c r="A9" s="5" t="s">
        <v>95</v>
      </c>
      <c r="B9" s="5" t="s">
        <v>96</v>
      </c>
      <c r="C9" s="5" t="s">
        <v>1169</v>
      </c>
      <c r="D9" s="5">
        <v>182</v>
      </c>
      <c r="E9" s="5">
        <v>15</v>
      </c>
      <c r="F9" s="5" t="s">
        <v>1170</v>
      </c>
    </row>
    <row r="10" spans="1:6">
      <c r="A10" s="5" t="s">
        <v>167</v>
      </c>
      <c r="B10" s="5" t="s">
        <v>168</v>
      </c>
      <c r="C10" s="5" t="s">
        <v>1171</v>
      </c>
      <c r="D10" s="5">
        <v>54</v>
      </c>
      <c r="E10" s="5">
        <v>25</v>
      </c>
      <c r="F10" s="5" t="s">
        <v>1172</v>
      </c>
    </row>
    <row r="11" spans="1:6">
      <c r="A11" s="5" t="s">
        <v>321</v>
      </c>
      <c r="B11" s="5" t="s">
        <v>322</v>
      </c>
      <c r="C11" s="5" t="s">
        <v>1169</v>
      </c>
      <c r="D11" s="5">
        <v>62</v>
      </c>
      <c r="E11" s="5">
        <v>30</v>
      </c>
      <c r="F11" s="5" t="s">
        <v>1166</v>
      </c>
    </row>
    <row r="12" spans="1:6">
      <c r="A12" s="5" t="s">
        <v>56</v>
      </c>
      <c r="B12" s="5" t="s">
        <v>57</v>
      </c>
      <c r="C12" s="5" t="s">
        <v>1173</v>
      </c>
      <c r="D12" s="5">
        <v>35</v>
      </c>
      <c r="E12" s="5">
        <v>6</v>
      </c>
      <c r="F12" s="5" t="s">
        <v>1166</v>
      </c>
    </row>
    <row r="13" spans="1:6">
      <c r="A13" s="5" t="s">
        <v>185</v>
      </c>
      <c r="B13" s="5" t="s">
        <v>186</v>
      </c>
      <c r="C13" s="5" t="s">
        <v>1174</v>
      </c>
      <c r="D13" s="5">
        <v>0</v>
      </c>
      <c r="E13" s="5">
        <v>12</v>
      </c>
      <c r="F13" s="5" t="s">
        <v>1166</v>
      </c>
    </row>
    <row r="14" spans="1:6">
      <c r="A14" s="5" t="s">
        <v>292</v>
      </c>
      <c r="B14" s="5" t="s">
        <v>293</v>
      </c>
      <c r="C14" s="5" t="s">
        <v>1175</v>
      </c>
      <c r="D14" s="5">
        <v>10</v>
      </c>
      <c r="E14" s="5">
        <v>25</v>
      </c>
      <c r="F14" s="5" t="s">
        <v>1164</v>
      </c>
    </row>
    <row r="15" spans="1:6">
      <c r="A15" s="5" t="s">
        <v>369</v>
      </c>
      <c r="B15" s="5" t="s">
        <v>370</v>
      </c>
      <c r="C15" s="5" t="s">
        <v>1175</v>
      </c>
      <c r="D15" s="5">
        <v>33</v>
      </c>
      <c r="E15" s="5">
        <v>15</v>
      </c>
      <c r="F15" s="5" t="s">
        <v>1176</v>
      </c>
    </row>
    <row r="16" spans="1:6">
      <c r="A16" s="5" t="s">
        <v>309</v>
      </c>
      <c r="B16" s="5" t="s">
        <v>310</v>
      </c>
      <c r="C16" s="5" t="s">
        <v>1173</v>
      </c>
      <c r="D16" s="5">
        <v>79</v>
      </c>
      <c r="E16" s="5">
        <v>10</v>
      </c>
      <c r="F16" s="5" t="s">
        <v>1177</v>
      </c>
    </row>
    <row r="17" spans="1:6">
      <c r="A17" s="5" t="s">
        <v>35</v>
      </c>
      <c r="B17" s="5" t="s">
        <v>36</v>
      </c>
      <c r="C17" s="5" t="s">
        <v>1178</v>
      </c>
      <c r="D17" s="5">
        <v>87</v>
      </c>
      <c r="E17" s="5">
        <v>8</v>
      </c>
      <c r="F17" s="5" t="s">
        <v>1166</v>
      </c>
    </row>
    <row r="18" spans="1:6">
      <c r="A18" s="5" t="s">
        <v>50</v>
      </c>
      <c r="B18" s="5" t="s">
        <v>51</v>
      </c>
      <c r="C18" s="5" t="s">
        <v>1179</v>
      </c>
      <c r="D18" s="5">
        <v>51</v>
      </c>
      <c r="E18" s="5">
        <v>16</v>
      </c>
      <c r="F18" s="5" t="s">
        <v>1176</v>
      </c>
    </row>
    <row r="19" spans="1:6">
      <c r="A19" s="5" t="s">
        <v>240</v>
      </c>
      <c r="B19" s="5" t="s">
        <v>241</v>
      </c>
      <c r="C19" s="5" t="s">
        <v>1180</v>
      </c>
      <c r="D19" s="5">
        <v>184</v>
      </c>
      <c r="E19" s="5">
        <v>13</v>
      </c>
      <c r="F19" s="5" t="s">
        <v>1177</v>
      </c>
    </row>
    <row r="20" spans="1:6">
      <c r="A20" s="5" t="s">
        <v>113</v>
      </c>
      <c r="B20" s="5" t="s">
        <v>114</v>
      </c>
      <c r="C20" s="5" t="s">
        <v>1181</v>
      </c>
      <c r="D20" s="5">
        <v>129</v>
      </c>
      <c r="E20" s="5">
        <v>22</v>
      </c>
      <c r="F20" s="5" t="s">
        <v>1166</v>
      </c>
    </row>
    <row r="21" spans="1:6">
      <c r="A21" s="5" t="s">
        <v>354</v>
      </c>
      <c r="B21" s="5" t="s">
        <v>355</v>
      </c>
      <c r="C21" s="5" t="s">
        <v>1181</v>
      </c>
      <c r="D21" s="5">
        <v>160</v>
      </c>
      <c r="E21" s="5">
        <v>14</v>
      </c>
      <c r="F21" s="5" t="s">
        <v>1164</v>
      </c>
    </row>
    <row r="22" spans="1:6">
      <c r="A22" s="5" t="s">
        <v>101</v>
      </c>
      <c r="B22" s="5" t="s">
        <v>102</v>
      </c>
      <c r="C22" s="5" t="s">
        <v>1182</v>
      </c>
      <c r="D22" s="5">
        <v>103</v>
      </c>
      <c r="E22" s="5">
        <v>30</v>
      </c>
      <c r="F22" s="5" t="s">
        <v>1164</v>
      </c>
    </row>
    <row r="23" spans="1:6">
      <c r="A23" s="5" t="s">
        <v>393</v>
      </c>
      <c r="B23" s="5" t="s">
        <v>394</v>
      </c>
      <c r="C23" s="5" t="s">
        <v>1183</v>
      </c>
      <c r="D23" s="5">
        <v>178</v>
      </c>
      <c r="E23" s="5">
        <v>10</v>
      </c>
      <c r="F23" s="5" t="s">
        <v>1172</v>
      </c>
    </row>
    <row r="24" spans="1:6">
      <c r="A24" s="5" t="s">
        <v>251</v>
      </c>
      <c r="B24" s="5" t="s">
        <v>252</v>
      </c>
      <c r="C24" s="5" t="s">
        <v>1184</v>
      </c>
      <c r="D24" s="5">
        <v>50</v>
      </c>
      <c r="E24" s="5">
        <v>19</v>
      </c>
      <c r="F24" s="5" t="s">
        <v>1176</v>
      </c>
    </row>
    <row r="25" spans="1:6">
      <c r="A25" s="5" t="s">
        <v>20</v>
      </c>
      <c r="B25" s="5" t="s">
        <v>21</v>
      </c>
      <c r="C25" s="5" t="s">
        <v>1183</v>
      </c>
      <c r="D25" s="5">
        <v>6</v>
      </c>
      <c r="E25" s="5">
        <v>22</v>
      </c>
      <c r="F25" s="5" t="s">
        <v>1172</v>
      </c>
    </row>
    <row r="26" spans="1:6">
      <c r="A26" s="5" t="s">
        <v>143</v>
      </c>
      <c r="B26" s="5" t="s">
        <v>144</v>
      </c>
      <c r="C26" s="5" t="s">
        <v>1185</v>
      </c>
      <c r="D26" s="5">
        <v>151</v>
      </c>
      <c r="E26" s="5">
        <v>9</v>
      </c>
      <c r="F26" s="5" t="s">
        <v>1164</v>
      </c>
    </row>
    <row r="27" spans="1:6">
      <c r="A27" s="5" t="s">
        <v>431</v>
      </c>
      <c r="B27" s="5" t="s">
        <v>432</v>
      </c>
      <c r="C27" s="5" t="s">
        <v>1185</v>
      </c>
      <c r="D27" s="5">
        <v>171</v>
      </c>
      <c r="E27" s="5">
        <v>21</v>
      </c>
      <c r="F27" s="5" t="s">
        <v>1176</v>
      </c>
    </row>
    <row r="28" spans="1:6">
      <c r="A28" s="5" t="s">
        <v>12</v>
      </c>
      <c r="B28" s="5" t="s">
        <v>13</v>
      </c>
      <c r="C28" s="5" t="s">
        <v>1186</v>
      </c>
      <c r="D28" s="5">
        <v>14</v>
      </c>
      <c r="E28" s="5">
        <v>30</v>
      </c>
      <c r="F28" s="5" t="s">
        <v>1176</v>
      </c>
    </row>
    <row r="29" spans="1:6">
      <c r="A29" s="5" t="s">
        <v>215</v>
      </c>
      <c r="B29" s="5" t="s">
        <v>216</v>
      </c>
      <c r="C29" s="5" t="s">
        <v>1187</v>
      </c>
      <c r="D29" s="5">
        <v>139</v>
      </c>
      <c r="E29" s="5">
        <v>17</v>
      </c>
      <c r="F29" s="5" t="s">
        <v>1172</v>
      </c>
    </row>
    <row r="30" spans="1:6">
      <c r="A30" s="5" t="s">
        <v>68</v>
      </c>
      <c r="B30" s="5" t="s">
        <v>69</v>
      </c>
      <c r="C30" s="5" t="s">
        <v>1188</v>
      </c>
      <c r="D30" s="5">
        <v>27</v>
      </c>
      <c r="E30" s="5">
        <v>27</v>
      </c>
      <c r="F30" s="5" t="s">
        <v>1162</v>
      </c>
    </row>
    <row r="31" spans="1:6">
      <c r="A31" s="5" t="s">
        <v>315</v>
      </c>
      <c r="B31" s="5" t="s">
        <v>316</v>
      </c>
      <c r="C31" s="5" t="s">
        <v>1185</v>
      </c>
      <c r="D31" s="5">
        <v>191</v>
      </c>
      <c r="E31" s="5">
        <v>29</v>
      </c>
      <c r="F31" s="5" t="s">
        <v>1162</v>
      </c>
    </row>
    <row r="32" spans="1:6">
      <c r="A32" s="5" t="s">
        <v>265</v>
      </c>
      <c r="B32" s="5" t="s">
        <v>266</v>
      </c>
      <c r="C32" s="5" t="s">
        <v>1189</v>
      </c>
      <c r="D32" s="5">
        <v>38</v>
      </c>
      <c r="E32" s="5">
        <v>27</v>
      </c>
      <c r="F32" s="5" t="s">
        <v>1166</v>
      </c>
    </row>
    <row r="33" spans="1:6">
      <c r="A33" s="5" t="s">
        <v>156</v>
      </c>
      <c r="B33" s="5" t="s">
        <v>157</v>
      </c>
      <c r="C33" s="5" t="s">
        <v>1190</v>
      </c>
      <c r="D33" s="5">
        <v>16</v>
      </c>
      <c r="E33" s="5">
        <v>16</v>
      </c>
      <c r="F33" s="5" t="s">
        <v>1164</v>
      </c>
    </row>
    <row r="34" spans="1:6">
      <c r="A34" s="5" t="s">
        <v>201</v>
      </c>
      <c r="B34" s="5" t="s">
        <v>202</v>
      </c>
      <c r="C34" s="5" t="s">
        <v>1190</v>
      </c>
      <c r="D34" s="5">
        <v>64</v>
      </c>
      <c r="E34" s="5">
        <v>18</v>
      </c>
      <c r="F34" s="5" t="s">
        <v>1172</v>
      </c>
    </row>
    <row r="35" spans="1:6">
      <c r="A35" s="5" t="s">
        <v>350</v>
      </c>
      <c r="B35" s="5" t="s">
        <v>351</v>
      </c>
      <c r="C35" s="5" t="s">
        <v>1189</v>
      </c>
      <c r="D35" s="5">
        <v>136</v>
      </c>
      <c r="E35" s="5">
        <v>5</v>
      </c>
      <c r="F35" s="5" t="s">
        <v>1166</v>
      </c>
    </row>
    <row r="36" spans="1:6">
      <c r="A36" s="5" t="s">
        <v>210</v>
      </c>
      <c r="B36" s="5" t="s">
        <v>211</v>
      </c>
      <c r="C36" s="5" t="s">
        <v>1190</v>
      </c>
      <c r="D36" s="5">
        <v>119</v>
      </c>
      <c r="E36" s="5">
        <v>29</v>
      </c>
      <c r="F36" s="5" t="s">
        <v>1176</v>
      </c>
    </row>
    <row r="37" spans="1:6">
      <c r="A37" s="5" t="s">
        <v>177</v>
      </c>
      <c r="B37" s="5" t="s">
        <v>178</v>
      </c>
      <c r="C37" s="5" t="s">
        <v>1189</v>
      </c>
      <c r="D37" s="5">
        <v>4</v>
      </c>
      <c r="E37" s="5">
        <v>9</v>
      </c>
      <c r="F37" s="5" t="s">
        <v>1170</v>
      </c>
    </row>
    <row r="38" spans="1:6">
      <c r="A38" s="5" t="s">
        <v>451</v>
      </c>
      <c r="B38" s="5" t="s">
        <v>452</v>
      </c>
      <c r="C38" s="5" t="s">
        <v>1191</v>
      </c>
      <c r="D38" s="5">
        <v>99</v>
      </c>
      <c r="E38" s="5">
        <v>8</v>
      </c>
      <c r="F38" s="5" t="s">
        <v>1170</v>
      </c>
    </row>
    <row r="39" spans="1:6">
      <c r="A39" s="5" t="s">
        <v>79</v>
      </c>
      <c r="B39" s="5" t="s">
        <v>80</v>
      </c>
      <c r="C39" s="5" t="s">
        <v>1192</v>
      </c>
      <c r="D39" s="5">
        <v>90</v>
      </c>
      <c r="E39" s="5">
        <v>22</v>
      </c>
      <c r="F39" s="5" t="s">
        <v>1162</v>
      </c>
    </row>
    <row r="40" spans="1:6">
      <c r="A40" s="5" t="s">
        <v>421</v>
      </c>
      <c r="B40" s="5" t="s">
        <v>422</v>
      </c>
      <c r="C40" s="5" t="s">
        <v>1192</v>
      </c>
      <c r="D40" s="5">
        <v>171</v>
      </c>
      <c r="E40" s="5">
        <v>5</v>
      </c>
      <c r="F40" s="5" t="s">
        <v>1162</v>
      </c>
    </row>
    <row r="41" spans="1:6">
      <c r="A41" s="5" t="s">
        <v>43</v>
      </c>
      <c r="B41" s="5" t="s">
        <v>44</v>
      </c>
      <c r="C41" s="5" t="s">
        <v>1193</v>
      </c>
      <c r="D41" s="5">
        <v>95</v>
      </c>
      <c r="E41" s="5">
        <v>30</v>
      </c>
      <c r="F41" s="5" t="s">
        <v>1176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69BC-659B-4F34-9A36-F099F6E12A41}">
  <dimension ref="A1:F41"/>
  <sheetViews>
    <sheetView workbookViewId="0">
      <selection activeCell="H14" sqref="H14"/>
    </sheetView>
  </sheetViews>
  <sheetFormatPr defaultRowHeight="15"/>
  <cols>
    <col min="1" max="1" width="11.140625" bestFit="1" customWidth="1"/>
    <col min="2" max="2" width="20.140625" bestFit="1" customWidth="1"/>
    <col min="3" max="3" width="15.140625" bestFit="1" customWidth="1"/>
    <col min="4" max="4" width="12" bestFit="1" customWidth="1"/>
    <col min="5" max="5" width="14" bestFit="1" customWidth="1"/>
    <col min="6" max="6" width="8.28515625" bestFit="1" customWidth="1"/>
  </cols>
  <sheetData>
    <row r="1" spans="1:6">
      <c r="A1" s="5" t="s">
        <v>1</v>
      </c>
      <c r="B1" s="5" t="s">
        <v>2</v>
      </c>
      <c r="C1" s="5" t="s">
        <v>550</v>
      </c>
      <c r="D1" s="5" t="s">
        <v>1158</v>
      </c>
      <c r="E1" s="5" t="s">
        <v>1159</v>
      </c>
      <c r="F1" s="5" t="s">
        <v>1160</v>
      </c>
    </row>
    <row r="2" spans="1:6">
      <c r="A2" s="5" t="s">
        <v>271</v>
      </c>
      <c r="B2" s="5" t="s">
        <v>573</v>
      </c>
      <c r="C2" s="5" t="s">
        <v>1163</v>
      </c>
      <c r="D2" s="5">
        <v>136</v>
      </c>
      <c r="E2" s="5">
        <v>11</v>
      </c>
      <c r="F2" s="5" t="s">
        <v>1162</v>
      </c>
    </row>
    <row r="3" spans="1:6">
      <c r="A3" s="5" t="s">
        <v>119</v>
      </c>
      <c r="B3" s="5" t="s">
        <v>568</v>
      </c>
      <c r="C3" s="5" t="s">
        <v>1163</v>
      </c>
      <c r="D3" s="5">
        <v>120</v>
      </c>
      <c r="E3" s="5">
        <v>22</v>
      </c>
      <c r="F3" s="5" t="s">
        <v>1177</v>
      </c>
    </row>
    <row r="4" spans="1:6">
      <c r="A4" s="5" t="s">
        <v>62</v>
      </c>
      <c r="B4" s="5" t="s">
        <v>576</v>
      </c>
      <c r="C4" s="5" t="s">
        <v>1163</v>
      </c>
      <c r="D4" s="5">
        <v>55</v>
      </c>
      <c r="E4" s="5">
        <v>13</v>
      </c>
      <c r="F4" s="5" t="s">
        <v>1177</v>
      </c>
    </row>
    <row r="5" spans="1:6">
      <c r="A5" s="5" t="s">
        <v>234</v>
      </c>
      <c r="B5" s="5" t="s">
        <v>235</v>
      </c>
      <c r="C5" s="5" t="s">
        <v>1163</v>
      </c>
      <c r="D5" s="5">
        <v>198</v>
      </c>
      <c r="E5" s="5">
        <v>7</v>
      </c>
      <c r="F5" s="5" t="s">
        <v>1177</v>
      </c>
    </row>
    <row r="6" spans="1:6">
      <c r="A6" s="5" t="s">
        <v>106</v>
      </c>
      <c r="B6" s="5" t="s">
        <v>713</v>
      </c>
      <c r="C6" s="5" t="s">
        <v>1163</v>
      </c>
      <c r="D6" s="5">
        <v>167</v>
      </c>
      <c r="E6" s="5">
        <v>11</v>
      </c>
      <c r="F6" s="5" t="s">
        <v>1177</v>
      </c>
    </row>
    <row r="7" spans="1:6">
      <c r="A7" s="5" t="s">
        <v>89</v>
      </c>
      <c r="B7" s="5" t="s">
        <v>578</v>
      </c>
      <c r="C7" s="5" t="s">
        <v>1163</v>
      </c>
      <c r="D7" s="5">
        <v>57</v>
      </c>
      <c r="E7" s="5">
        <v>10</v>
      </c>
      <c r="F7" s="5" t="s">
        <v>1162</v>
      </c>
    </row>
    <row r="8" spans="1:6">
      <c r="A8" s="5" t="s">
        <v>197</v>
      </c>
      <c r="B8" s="5" t="s">
        <v>656</v>
      </c>
      <c r="C8" s="5" t="s">
        <v>1171</v>
      </c>
      <c r="D8" s="5">
        <v>50</v>
      </c>
      <c r="E8" s="5">
        <v>9</v>
      </c>
      <c r="F8" s="5" t="s">
        <v>1177</v>
      </c>
    </row>
    <row r="9" spans="1:6">
      <c r="A9" s="5" t="s">
        <v>95</v>
      </c>
      <c r="B9" s="5" t="s">
        <v>581</v>
      </c>
      <c r="C9" s="5" t="s">
        <v>1171</v>
      </c>
      <c r="D9" s="5">
        <v>182</v>
      </c>
      <c r="E9" s="5">
        <v>15</v>
      </c>
      <c r="F9" s="5" t="s">
        <v>1162</v>
      </c>
    </row>
    <row r="10" spans="1:6">
      <c r="A10" s="5" t="s">
        <v>167</v>
      </c>
      <c r="B10" s="5" t="s">
        <v>168</v>
      </c>
      <c r="C10" s="5" t="s">
        <v>1171</v>
      </c>
      <c r="D10" s="5">
        <v>54</v>
      </c>
      <c r="E10" s="5">
        <v>25</v>
      </c>
      <c r="F10" s="5" t="s">
        <v>1177</v>
      </c>
    </row>
    <row r="11" spans="1:6">
      <c r="A11" s="5" t="s">
        <v>321</v>
      </c>
      <c r="B11" s="5" t="s">
        <v>588</v>
      </c>
      <c r="C11" s="5" t="s">
        <v>1171</v>
      </c>
      <c r="D11" s="5">
        <v>62</v>
      </c>
      <c r="E11" s="5">
        <v>30</v>
      </c>
      <c r="F11" s="5" t="s">
        <v>1177</v>
      </c>
    </row>
    <row r="12" spans="1:6">
      <c r="A12" s="5" t="s">
        <v>56</v>
      </c>
      <c r="B12" s="5" t="s">
        <v>575</v>
      </c>
      <c r="C12" s="5" t="s">
        <v>1174</v>
      </c>
      <c r="D12" s="5">
        <v>35</v>
      </c>
      <c r="E12" s="5">
        <v>6</v>
      </c>
      <c r="F12" s="5" t="s">
        <v>1177</v>
      </c>
    </row>
    <row r="13" spans="1:6">
      <c r="A13" s="5" t="s">
        <v>185</v>
      </c>
      <c r="B13" s="5" t="s">
        <v>186</v>
      </c>
      <c r="C13" s="5" t="s">
        <v>1174</v>
      </c>
      <c r="D13" s="5">
        <v>0</v>
      </c>
      <c r="E13" s="5">
        <v>12</v>
      </c>
      <c r="F13" s="5" t="s">
        <v>1177</v>
      </c>
    </row>
    <row r="14" spans="1:6">
      <c r="A14" s="5" t="s">
        <v>292</v>
      </c>
      <c r="B14" s="5" t="s">
        <v>293</v>
      </c>
      <c r="C14" s="5" t="s">
        <v>1174</v>
      </c>
      <c r="D14" s="5">
        <v>10</v>
      </c>
      <c r="E14" s="5">
        <v>25</v>
      </c>
      <c r="F14" s="5" t="s">
        <v>1177</v>
      </c>
    </row>
    <row r="15" spans="1:6">
      <c r="A15" s="5" t="s">
        <v>369</v>
      </c>
      <c r="B15" s="5" t="s">
        <v>370</v>
      </c>
      <c r="C15" s="5" t="s">
        <v>1174</v>
      </c>
      <c r="D15" s="5">
        <v>33</v>
      </c>
      <c r="E15" s="5">
        <v>15</v>
      </c>
      <c r="F15" s="5" t="s">
        <v>1162</v>
      </c>
    </row>
    <row r="16" spans="1:6">
      <c r="A16" s="5" t="s">
        <v>309</v>
      </c>
      <c r="B16" s="5" t="s">
        <v>310</v>
      </c>
      <c r="C16" s="5" t="s">
        <v>1174</v>
      </c>
      <c r="D16" s="5">
        <v>79</v>
      </c>
      <c r="E16" s="5">
        <v>10</v>
      </c>
      <c r="F16" s="5" t="s">
        <v>1177</v>
      </c>
    </row>
    <row r="17" spans="1:6">
      <c r="A17" s="5" t="s">
        <v>35</v>
      </c>
      <c r="B17" s="5" t="s">
        <v>591</v>
      </c>
      <c r="C17" s="5" t="s">
        <v>1174</v>
      </c>
      <c r="D17" s="5">
        <v>87</v>
      </c>
      <c r="E17" s="5">
        <v>8</v>
      </c>
      <c r="F17" s="5" t="s">
        <v>1177</v>
      </c>
    </row>
    <row r="18" spans="1:6">
      <c r="A18" s="5" t="s">
        <v>50</v>
      </c>
      <c r="B18" s="5" t="s">
        <v>556</v>
      </c>
      <c r="C18" s="5" t="s">
        <v>1180</v>
      </c>
      <c r="D18" s="5">
        <v>51</v>
      </c>
      <c r="E18" s="5">
        <v>16</v>
      </c>
      <c r="F18" s="5" t="s">
        <v>1162</v>
      </c>
    </row>
    <row r="19" spans="1:6">
      <c r="A19" s="5" t="s">
        <v>240</v>
      </c>
      <c r="B19" s="5" t="s">
        <v>603</v>
      </c>
      <c r="C19" s="5" t="s">
        <v>1180</v>
      </c>
      <c r="D19" s="5">
        <v>184</v>
      </c>
      <c r="E19" s="5">
        <v>13</v>
      </c>
      <c r="F19" s="5" t="s">
        <v>1177</v>
      </c>
    </row>
    <row r="20" spans="1:6">
      <c r="A20" s="5" t="s">
        <v>113</v>
      </c>
      <c r="B20" s="5" t="s">
        <v>114</v>
      </c>
      <c r="C20" s="5" t="s">
        <v>1180</v>
      </c>
      <c r="D20" s="5">
        <v>129</v>
      </c>
      <c r="E20" s="5">
        <v>22</v>
      </c>
      <c r="F20" s="5" t="s">
        <v>1177</v>
      </c>
    </row>
    <row r="21" spans="1:6">
      <c r="A21" s="5" t="s">
        <v>354</v>
      </c>
      <c r="B21" s="5" t="s">
        <v>355</v>
      </c>
      <c r="C21" s="5" t="s">
        <v>1180</v>
      </c>
      <c r="D21" s="5">
        <v>160</v>
      </c>
      <c r="E21" s="5">
        <v>14</v>
      </c>
      <c r="F21" s="5" t="s">
        <v>1177</v>
      </c>
    </row>
    <row r="22" spans="1:6">
      <c r="A22" s="5" t="s">
        <v>101</v>
      </c>
      <c r="B22" s="5" t="s">
        <v>584</v>
      </c>
      <c r="C22" s="5" t="s">
        <v>1194</v>
      </c>
      <c r="D22" s="5">
        <v>103</v>
      </c>
      <c r="E22" s="5">
        <v>30</v>
      </c>
      <c r="F22" s="5" t="s">
        <v>1177</v>
      </c>
    </row>
    <row r="23" spans="1:6">
      <c r="A23" s="5" t="s">
        <v>393</v>
      </c>
      <c r="B23" s="5" t="s">
        <v>565</v>
      </c>
      <c r="C23" s="5" t="s">
        <v>1194</v>
      </c>
      <c r="D23" s="5">
        <v>178</v>
      </c>
      <c r="E23" s="5">
        <v>10</v>
      </c>
      <c r="F23" s="5" t="s">
        <v>1177</v>
      </c>
    </row>
    <row r="24" spans="1:6">
      <c r="A24" s="5" t="s">
        <v>251</v>
      </c>
      <c r="B24" s="5" t="s">
        <v>560</v>
      </c>
      <c r="C24" s="5" t="s">
        <v>1194</v>
      </c>
      <c r="D24" s="5">
        <v>50</v>
      </c>
      <c r="E24" s="5">
        <v>19</v>
      </c>
      <c r="F24" s="5" t="s">
        <v>1162</v>
      </c>
    </row>
    <row r="25" spans="1:6">
      <c r="A25" s="5" t="s">
        <v>20</v>
      </c>
      <c r="B25" s="5" t="s">
        <v>599</v>
      </c>
      <c r="C25" s="5" t="s">
        <v>1194</v>
      </c>
      <c r="D25" s="5">
        <v>6</v>
      </c>
      <c r="E25" s="5">
        <v>22</v>
      </c>
      <c r="F25" s="5" t="s">
        <v>1177</v>
      </c>
    </row>
    <row r="26" spans="1:6">
      <c r="A26" s="5" t="s">
        <v>143</v>
      </c>
      <c r="B26" s="5" t="s">
        <v>577</v>
      </c>
      <c r="C26" s="5" t="s">
        <v>1188</v>
      </c>
      <c r="D26" s="5">
        <v>151</v>
      </c>
      <c r="E26" s="5">
        <v>9</v>
      </c>
      <c r="F26" s="5" t="s">
        <v>1177</v>
      </c>
    </row>
    <row r="27" spans="1:6">
      <c r="A27" s="5" t="s">
        <v>431</v>
      </c>
      <c r="B27" s="5" t="s">
        <v>607</v>
      </c>
      <c r="C27" s="5" t="s">
        <v>1188</v>
      </c>
      <c r="D27" s="5">
        <v>171</v>
      </c>
      <c r="E27" s="5">
        <v>21</v>
      </c>
      <c r="F27" s="5" t="s">
        <v>1162</v>
      </c>
    </row>
    <row r="28" spans="1:6">
      <c r="A28" s="5" t="s">
        <v>12</v>
      </c>
      <c r="B28" s="5" t="s">
        <v>609</v>
      </c>
      <c r="C28" s="5" t="s">
        <v>1188</v>
      </c>
      <c r="D28" s="5">
        <v>14</v>
      </c>
      <c r="E28" s="5">
        <v>30</v>
      </c>
      <c r="F28" s="5" t="s">
        <v>1162</v>
      </c>
    </row>
    <row r="29" spans="1:6">
      <c r="A29" s="5" t="s">
        <v>215</v>
      </c>
      <c r="B29" s="5" t="s">
        <v>216</v>
      </c>
      <c r="C29" s="5" t="s">
        <v>1188</v>
      </c>
      <c r="D29" s="5">
        <v>139</v>
      </c>
      <c r="E29" s="5">
        <v>17</v>
      </c>
      <c r="F29" s="5" t="s">
        <v>1177</v>
      </c>
    </row>
    <row r="30" spans="1:6">
      <c r="A30" s="5" t="s">
        <v>68</v>
      </c>
      <c r="B30" s="5" t="s">
        <v>606</v>
      </c>
      <c r="C30" s="5" t="s">
        <v>1188</v>
      </c>
      <c r="D30" s="5">
        <v>27</v>
      </c>
      <c r="E30" s="5">
        <v>27</v>
      </c>
      <c r="F30" s="5" t="s">
        <v>1162</v>
      </c>
    </row>
    <row r="31" spans="1:6">
      <c r="A31" s="5" t="s">
        <v>315</v>
      </c>
      <c r="B31" s="5" t="s">
        <v>596</v>
      </c>
      <c r="C31" s="5" t="s">
        <v>1188</v>
      </c>
      <c r="D31" s="5">
        <v>191</v>
      </c>
      <c r="E31" s="5">
        <v>29</v>
      </c>
      <c r="F31" s="5" t="s">
        <v>1162</v>
      </c>
    </row>
    <row r="32" spans="1:6">
      <c r="A32" s="5" t="s">
        <v>265</v>
      </c>
      <c r="B32" s="5" t="s">
        <v>266</v>
      </c>
      <c r="C32" s="5" t="s">
        <v>1195</v>
      </c>
      <c r="D32" s="5">
        <v>38</v>
      </c>
      <c r="E32" s="5">
        <v>27</v>
      </c>
      <c r="F32" s="5" t="s">
        <v>1177</v>
      </c>
    </row>
    <row r="33" spans="1:6">
      <c r="A33" s="5" t="s">
        <v>156</v>
      </c>
      <c r="B33" s="5" t="s">
        <v>595</v>
      </c>
      <c r="C33" s="5" t="s">
        <v>1195</v>
      </c>
      <c r="D33" s="5">
        <v>16</v>
      </c>
      <c r="E33" s="5">
        <v>16</v>
      </c>
      <c r="F33" s="5" t="s">
        <v>1177</v>
      </c>
    </row>
    <row r="34" spans="1:6">
      <c r="A34" s="5" t="s">
        <v>201</v>
      </c>
      <c r="B34" s="5" t="s">
        <v>593</v>
      </c>
      <c r="C34" s="5" t="s">
        <v>1195</v>
      </c>
      <c r="D34" s="5">
        <v>64</v>
      </c>
      <c r="E34" s="5">
        <v>18</v>
      </c>
      <c r="F34" s="5" t="s">
        <v>1177</v>
      </c>
    </row>
    <row r="35" spans="1:6">
      <c r="A35" s="5" t="s">
        <v>350</v>
      </c>
      <c r="B35" s="5" t="s">
        <v>566</v>
      </c>
      <c r="C35" s="5" t="s">
        <v>1195</v>
      </c>
      <c r="D35" s="5">
        <v>136</v>
      </c>
      <c r="E35" s="5">
        <v>5</v>
      </c>
      <c r="F35" s="5" t="s">
        <v>1177</v>
      </c>
    </row>
    <row r="36" spans="1:6">
      <c r="A36" s="5" t="s">
        <v>210</v>
      </c>
      <c r="B36" s="5" t="s">
        <v>563</v>
      </c>
      <c r="C36" s="5" t="s">
        <v>1195</v>
      </c>
      <c r="D36" s="5">
        <v>119</v>
      </c>
      <c r="E36" s="5">
        <v>29</v>
      </c>
      <c r="F36" s="5" t="s">
        <v>1162</v>
      </c>
    </row>
    <row r="37" spans="1:6">
      <c r="A37" s="5" t="s">
        <v>177</v>
      </c>
      <c r="B37" s="5" t="s">
        <v>178</v>
      </c>
      <c r="C37" s="5" t="s">
        <v>1195</v>
      </c>
      <c r="D37" s="5">
        <v>4</v>
      </c>
      <c r="E37" s="5">
        <v>9</v>
      </c>
      <c r="F37" s="5" t="s">
        <v>1162</v>
      </c>
    </row>
    <row r="38" spans="1:6">
      <c r="A38" s="5" t="s">
        <v>451</v>
      </c>
      <c r="B38" s="5" t="s">
        <v>739</v>
      </c>
      <c r="C38" s="5" t="s">
        <v>1192</v>
      </c>
      <c r="D38" s="5">
        <v>99</v>
      </c>
      <c r="E38" s="5">
        <v>8</v>
      </c>
      <c r="F38" s="5" t="s">
        <v>1162</v>
      </c>
    </row>
    <row r="39" spans="1:6">
      <c r="A39" s="5" t="s">
        <v>79</v>
      </c>
      <c r="B39" s="5" t="s">
        <v>80</v>
      </c>
      <c r="C39" s="5" t="s">
        <v>1192</v>
      </c>
      <c r="D39" s="5">
        <v>90</v>
      </c>
      <c r="E39" s="5">
        <v>22</v>
      </c>
      <c r="F39" s="5" t="s">
        <v>1162</v>
      </c>
    </row>
    <row r="40" spans="1:6">
      <c r="A40" s="5" t="s">
        <v>421</v>
      </c>
      <c r="B40" s="5" t="s">
        <v>570</v>
      </c>
      <c r="C40" s="5" t="s">
        <v>1192</v>
      </c>
      <c r="D40" s="5">
        <v>171</v>
      </c>
      <c r="E40" s="5">
        <v>5</v>
      </c>
      <c r="F40" s="5" t="s">
        <v>1162</v>
      </c>
    </row>
    <row r="41" spans="1:6">
      <c r="A41" s="5" t="s">
        <v>43</v>
      </c>
      <c r="B41" s="5" t="s">
        <v>597</v>
      </c>
      <c r="C41" s="5" t="s">
        <v>1193</v>
      </c>
      <c r="D41" s="5">
        <v>95</v>
      </c>
      <c r="E41" s="5">
        <v>30</v>
      </c>
      <c r="F41" s="5" t="s">
        <v>1162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F894-2589-4FC7-BC98-7345A7365F13}">
  <dimension ref="A1:G51"/>
  <sheetViews>
    <sheetView topLeftCell="A27" workbookViewId="0">
      <selection activeCell="J44" sqref="J44"/>
    </sheetView>
  </sheetViews>
  <sheetFormatPr defaultRowHeight="15"/>
  <cols>
    <col min="1" max="1" width="10.42578125" bestFit="1" customWidth="1"/>
    <col min="2" max="2" width="11.140625" bestFit="1" customWidth="1"/>
    <col min="3" max="3" width="17.85546875" bestFit="1" customWidth="1"/>
    <col min="4" max="5" width="15.85546875" bestFit="1" customWidth="1"/>
    <col min="6" max="6" width="10.42578125" bestFit="1" customWidth="1"/>
    <col min="7" max="7" width="15.7109375" bestFit="1" customWidth="1"/>
  </cols>
  <sheetData>
    <row r="1" spans="1:7">
      <c r="A1" s="4" t="s">
        <v>1196</v>
      </c>
      <c r="B1" s="4" t="s">
        <v>1</v>
      </c>
      <c r="C1" s="4" t="s">
        <v>1197</v>
      </c>
      <c r="D1" s="4" t="s">
        <v>1198</v>
      </c>
      <c r="E1" s="4" t="s">
        <v>1199</v>
      </c>
      <c r="F1" s="4" t="s">
        <v>1200</v>
      </c>
      <c r="G1" s="4" t="s">
        <v>1201</v>
      </c>
    </row>
    <row r="2" spans="1:7">
      <c r="A2" s="4" t="s">
        <v>1202</v>
      </c>
      <c r="B2" s="4" t="s">
        <v>350</v>
      </c>
      <c r="C2" s="1" t="s">
        <v>1203</v>
      </c>
      <c r="D2" s="4"/>
      <c r="E2" s="4" t="s">
        <v>1204</v>
      </c>
      <c r="F2" s="4" t="s">
        <v>1166</v>
      </c>
      <c r="G2" s="4">
        <v>19</v>
      </c>
    </row>
    <row r="3" spans="1:7">
      <c r="A3" s="4" t="s">
        <v>1205</v>
      </c>
      <c r="B3" s="4" t="s">
        <v>56</v>
      </c>
      <c r="C3" s="1" t="s">
        <v>1206</v>
      </c>
      <c r="D3" s="4"/>
      <c r="E3" s="4" t="s">
        <v>1207</v>
      </c>
      <c r="F3" s="4" t="s">
        <v>1166</v>
      </c>
      <c r="G3" s="4">
        <v>11</v>
      </c>
    </row>
    <row r="4" spans="1:7">
      <c r="A4" s="4" t="s">
        <v>1208</v>
      </c>
      <c r="B4" s="4" t="s">
        <v>321</v>
      </c>
      <c r="C4" s="1" t="s">
        <v>1209</v>
      </c>
      <c r="D4" s="4" t="s">
        <v>1210</v>
      </c>
      <c r="E4" s="4" t="s">
        <v>1211</v>
      </c>
      <c r="F4" s="4" t="s">
        <v>31</v>
      </c>
      <c r="G4" s="4">
        <v>19</v>
      </c>
    </row>
    <row r="5" spans="1:7">
      <c r="A5" s="4" t="s">
        <v>1212</v>
      </c>
      <c r="B5" s="4" t="s">
        <v>234</v>
      </c>
      <c r="C5" s="1" t="s">
        <v>1213</v>
      </c>
      <c r="D5" s="4" t="s">
        <v>1214</v>
      </c>
      <c r="E5" s="4" t="s">
        <v>1215</v>
      </c>
      <c r="F5" s="4" t="s">
        <v>1170</v>
      </c>
      <c r="G5" s="4">
        <v>6</v>
      </c>
    </row>
    <row r="6" spans="1:7">
      <c r="A6" s="4" t="s">
        <v>1216</v>
      </c>
      <c r="B6" s="4" t="s">
        <v>197</v>
      </c>
      <c r="C6" s="1" t="s">
        <v>1217</v>
      </c>
      <c r="D6" s="4" t="s">
        <v>1218</v>
      </c>
      <c r="E6" s="4" t="s">
        <v>1219</v>
      </c>
      <c r="F6" s="4" t="s">
        <v>31</v>
      </c>
      <c r="G6" s="4">
        <v>10</v>
      </c>
    </row>
    <row r="7" spans="1:7">
      <c r="A7" s="4" t="s">
        <v>1220</v>
      </c>
      <c r="B7" s="4" t="s">
        <v>113</v>
      </c>
      <c r="C7" s="1" t="s">
        <v>92</v>
      </c>
      <c r="D7" s="4" t="s">
        <v>1221</v>
      </c>
      <c r="E7" s="4" t="s">
        <v>1222</v>
      </c>
      <c r="F7" s="4" t="s">
        <v>1170</v>
      </c>
      <c r="G7" s="4">
        <v>15</v>
      </c>
    </row>
    <row r="8" spans="1:7">
      <c r="A8" s="4" t="s">
        <v>1223</v>
      </c>
      <c r="B8" s="4" t="s">
        <v>113</v>
      </c>
      <c r="C8" s="1" t="s">
        <v>1224</v>
      </c>
      <c r="D8" s="4" t="s">
        <v>1225</v>
      </c>
      <c r="E8" s="4" t="s">
        <v>1226</v>
      </c>
      <c r="F8" s="4" t="s">
        <v>1166</v>
      </c>
      <c r="G8" s="4">
        <v>15</v>
      </c>
    </row>
    <row r="9" spans="1:7">
      <c r="A9" s="4" t="s">
        <v>1227</v>
      </c>
      <c r="B9" s="4" t="s">
        <v>197</v>
      </c>
      <c r="C9" s="1" t="s">
        <v>1228</v>
      </c>
      <c r="D9" s="4" t="s">
        <v>1229</v>
      </c>
      <c r="E9" s="4" t="s">
        <v>1230</v>
      </c>
      <c r="F9" s="4" t="s">
        <v>1177</v>
      </c>
      <c r="G9" s="4">
        <v>20</v>
      </c>
    </row>
    <row r="10" spans="1:7">
      <c r="A10" s="4" t="s">
        <v>1231</v>
      </c>
      <c r="B10" s="4" t="s">
        <v>393</v>
      </c>
      <c r="C10" s="1" t="s">
        <v>1232</v>
      </c>
      <c r="D10" s="4" t="s">
        <v>1218</v>
      </c>
      <c r="E10" s="4" t="s">
        <v>1233</v>
      </c>
      <c r="F10" s="4" t="s">
        <v>1166</v>
      </c>
      <c r="G10" s="4">
        <v>18</v>
      </c>
    </row>
    <row r="11" spans="1:7">
      <c r="A11" s="4" t="s">
        <v>1234</v>
      </c>
      <c r="B11" s="4" t="s">
        <v>421</v>
      </c>
      <c r="C11" s="1" t="s">
        <v>1235</v>
      </c>
      <c r="D11" s="4"/>
      <c r="E11" s="4" t="s">
        <v>1236</v>
      </c>
      <c r="F11" s="4" t="s">
        <v>1162</v>
      </c>
      <c r="G11" s="4">
        <v>11</v>
      </c>
    </row>
    <row r="12" spans="1:7">
      <c r="A12" s="4" t="s">
        <v>1237</v>
      </c>
      <c r="B12" s="4" t="s">
        <v>234</v>
      </c>
      <c r="C12" s="1" t="s">
        <v>1238</v>
      </c>
      <c r="D12" s="4" t="s">
        <v>1239</v>
      </c>
      <c r="E12" s="4" t="s">
        <v>1240</v>
      </c>
      <c r="F12" s="4" t="s">
        <v>1164</v>
      </c>
      <c r="G12" s="4">
        <v>3</v>
      </c>
    </row>
    <row r="13" spans="1:7">
      <c r="A13" s="4" t="s">
        <v>1241</v>
      </c>
      <c r="B13" s="4" t="s">
        <v>210</v>
      </c>
      <c r="C13" s="1" t="s">
        <v>1242</v>
      </c>
      <c r="D13" s="4" t="s">
        <v>1229</v>
      </c>
      <c r="E13" s="4" t="s">
        <v>1243</v>
      </c>
      <c r="F13" s="4" t="s">
        <v>1162</v>
      </c>
      <c r="G13" s="4">
        <v>13</v>
      </c>
    </row>
    <row r="14" spans="1:7">
      <c r="A14" s="4" t="s">
        <v>1244</v>
      </c>
      <c r="B14" s="4" t="s">
        <v>185</v>
      </c>
      <c r="C14" s="1" t="s">
        <v>1245</v>
      </c>
      <c r="D14" s="4" t="s">
        <v>1214</v>
      </c>
      <c r="E14" s="4" t="s">
        <v>1246</v>
      </c>
      <c r="F14" s="4" t="s">
        <v>1177</v>
      </c>
      <c r="G14" s="4">
        <v>20</v>
      </c>
    </row>
    <row r="15" spans="1:7">
      <c r="A15" s="4" t="s">
        <v>1247</v>
      </c>
      <c r="B15" s="4" t="s">
        <v>354</v>
      </c>
      <c r="C15" s="1" t="s">
        <v>1248</v>
      </c>
      <c r="D15" s="4" t="s">
        <v>1218</v>
      </c>
      <c r="E15" s="4" t="s">
        <v>1249</v>
      </c>
      <c r="F15" s="4" t="s">
        <v>31</v>
      </c>
      <c r="G15" s="4">
        <v>4</v>
      </c>
    </row>
    <row r="16" spans="1:7">
      <c r="A16" s="4" t="s">
        <v>1250</v>
      </c>
      <c r="B16" s="4" t="s">
        <v>451</v>
      </c>
      <c r="C16" s="1" t="s">
        <v>1251</v>
      </c>
      <c r="D16" s="4"/>
      <c r="E16" s="4" t="s">
        <v>1252</v>
      </c>
      <c r="F16" s="4" t="s">
        <v>1164</v>
      </c>
      <c r="G16" s="4">
        <v>18</v>
      </c>
    </row>
    <row r="17" spans="1:7">
      <c r="A17" s="4" t="s">
        <v>1253</v>
      </c>
      <c r="B17" s="4" t="s">
        <v>350</v>
      </c>
      <c r="C17" s="1" t="s">
        <v>1254</v>
      </c>
      <c r="D17" s="4" t="s">
        <v>1239</v>
      </c>
      <c r="E17" s="4" t="s">
        <v>1255</v>
      </c>
      <c r="F17" s="4" t="s">
        <v>31</v>
      </c>
      <c r="G17" s="4">
        <v>5</v>
      </c>
    </row>
    <row r="18" spans="1:7">
      <c r="A18" s="4" t="s">
        <v>1256</v>
      </c>
      <c r="B18" s="4" t="s">
        <v>20</v>
      </c>
      <c r="C18" s="1" t="s">
        <v>1257</v>
      </c>
      <c r="D18" s="4" t="s">
        <v>1221</v>
      </c>
      <c r="E18" s="4" t="s">
        <v>1258</v>
      </c>
      <c r="F18" s="4" t="s">
        <v>31</v>
      </c>
      <c r="G18" s="4">
        <v>7</v>
      </c>
    </row>
    <row r="19" spans="1:7">
      <c r="A19" s="4" t="s">
        <v>1259</v>
      </c>
      <c r="B19" s="4" t="s">
        <v>350</v>
      </c>
      <c r="C19" s="1" t="s">
        <v>1260</v>
      </c>
      <c r="D19" s="4" t="s">
        <v>1214</v>
      </c>
      <c r="E19" s="4" t="s">
        <v>1261</v>
      </c>
      <c r="F19" s="4" t="s">
        <v>31</v>
      </c>
      <c r="G19" s="4">
        <v>12</v>
      </c>
    </row>
    <row r="20" spans="1:7">
      <c r="A20" s="4" t="s">
        <v>1262</v>
      </c>
      <c r="B20" s="4" t="s">
        <v>271</v>
      </c>
      <c r="C20" s="1" t="s">
        <v>1263</v>
      </c>
      <c r="D20" s="4" t="s">
        <v>1210</v>
      </c>
      <c r="E20" s="4" t="s">
        <v>1264</v>
      </c>
      <c r="F20" s="4" t="s">
        <v>1162</v>
      </c>
      <c r="G20" s="4">
        <v>6</v>
      </c>
    </row>
    <row r="21" spans="1:7">
      <c r="A21" s="4" t="s">
        <v>1265</v>
      </c>
      <c r="B21" s="4" t="s">
        <v>210</v>
      </c>
      <c r="C21" s="1" t="s">
        <v>1266</v>
      </c>
      <c r="D21" s="4" t="s">
        <v>1210</v>
      </c>
      <c r="E21" s="4" t="s">
        <v>1267</v>
      </c>
      <c r="F21" s="4" t="s">
        <v>1166</v>
      </c>
      <c r="G21" s="4">
        <v>11</v>
      </c>
    </row>
    <row r="22" spans="1:7">
      <c r="A22" s="4" t="s">
        <v>1268</v>
      </c>
      <c r="B22" s="4" t="s">
        <v>185</v>
      </c>
      <c r="C22" s="1" t="s">
        <v>1269</v>
      </c>
      <c r="D22" s="4" t="s">
        <v>1218</v>
      </c>
      <c r="E22" s="4" t="s">
        <v>1270</v>
      </c>
      <c r="F22" s="4" t="s">
        <v>1162</v>
      </c>
      <c r="G22" s="4">
        <v>6</v>
      </c>
    </row>
    <row r="23" spans="1:7">
      <c r="A23" s="4" t="s">
        <v>1271</v>
      </c>
      <c r="B23" s="4" t="s">
        <v>369</v>
      </c>
      <c r="C23" s="1" t="s">
        <v>1272</v>
      </c>
      <c r="D23" s="4" t="s">
        <v>1229</v>
      </c>
      <c r="E23" s="4" t="s">
        <v>1273</v>
      </c>
      <c r="F23" s="4" t="s">
        <v>1177</v>
      </c>
      <c r="G23" s="4">
        <v>12</v>
      </c>
    </row>
    <row r="24" spans="1:7">
      <c r="A24" s="4" t="s">
        <v>1274</v>
      </c>
      <c r="B24" s="4" t="s">
        <v>234</v>
      </c>
      <c r="C24" s="1" t="s">
        <v>538</v>
      </c>
      <c r="D24" s="4" t="s">
        <v>1225</v>
      </c>
      <c r="E24" s="4" t="s">
        <v>1275</v>
      </c>
      <c r="F24" s="4" t="s">
        <v>1162</v>
      </c>
      <c r="G24" s="4">
        <v>10</v>
      </c>
    </row>
    <row r="25" spans="1:7">
      <c r="A25" s="4" t="s">
        <v>1276</v>
      </c>
      <c r="B25" s="4" t="s">
        <v>431</v>
      </c>
      <c r="C25" s="1" t="s">
        <v>1277</v>
      </c>
      <c r="D25" s="4" t="s">
        <v>1225</v>
      </c>
      <c r="E25" s="4" t="s">
        <v>1278</v>
      </c>
      <c r="F25" s="4" t="s">
        <v>1177</v>
      </c>
      <c r="G25" s="4">
        <v>18</v>
      </c>
    </row>
    <row r="26" spans="1:7">
      <c r="A26" s="4" t="s">
        <v>1279</v>
      </c>
      <c r="B26" s="4" t="s">
        <v>95</v>
      </c>
      <c r="C26" s="1" t="s">
        <v>1280</v>
      </c>
      <c r="D26" s="4" t="s">
        <v>1229</v>
      </c>
      <c r="E26" s="4" t="s">
        <v>1281</v>
      </c>
      <c r="F26" s="4" t="s">
        <v>1162</v>
      </c>
      <c r="G26" s="4">
        <v>21</v>
      </c>
    </row>
    <row r="27" spans="1:7">
      <c r="A27" s="4" t="s">
        <v>1282</v>
      </c>
      <c r="B27" s="4" t="s">
        <v>451</v>
      </c>
      <c r="C27" s="1" t="s">
        <v>1283</v>
      </c>
      <c r="D27" s="4" t="s">
        <v>1210</v>
      </c>
      <c r="E27" s="4" t="s">
        <v>1284</v>
      </c>
      <c r="F27" s="4" t="s">
        <v>1170</v>
      </c>
      <c r="G27" s="4">
        <v>11</v>
      </c>
    </row>
    <row r="28" spans="1:7">
      <c r="A28" s="4" t="s">
        <v>1285</v>
      </c>
      <c r="B28" s="4" t="s">
        <v>12</v>
      </c>
      <c r="C28" s="1" t="s">
        <v>1286</v>
      </c>
      <c r="D28" s="4" t="s">
        <v>1229</v>
      </c>
      <c r="E28" s="4" t="s">
        <v>1287</v>
      </c>
      <c r="F28" s="4" t="s">
        <v>1170</v>
      </c>
      <c r="G28" s="4">
        <v>21</v>
      </c>
    </row>
    <row r="29" spans="1:7">
      <c r="A29" s="4" t="s">
        <v>1288</v>
      </c>
      <c r="B29" s="4" t="s">
        <v>68</v>
      </c>
      <c r="C29" s="1" t="s">
        <v>1289</v>
      </c>
      <c r="D29" s="4" t="s">
        <v>1210</v>
      </c>
      <c r="E29" s="4" t="s">
        <v>1290</v>
      </c>
      <c r="F29" s="4" t="s">
        <v>1166</v>
      </c>
      <c r="G29" s="4">
        <v>14</v>
      </c>
    </row>
    <row r="30" spans="1:7">
      <c r="A30" s="4" t="s">
        <v>1291</v>
      </c>
      <c r="B30" s="4" t="s">
        <v>393</v>
      </c>
      <c r="C30" s="1" t="s">
        <v>1292</v>
      </c>
      <c r="D30" s="4" t="s">
        <v>1221</v>
      </c>
      <c r="E30" s="4" t="s">
        <v>1293</v>
      </c>
      <c r="F30" s="4" t="s">
        <v>1162</v>
      </c>
      <c r="G30" s="4">
        <v>14</v>
      </c>
    </row>
    <row r="31" spans="1:7">
      <c r="A31" s="4" t="s">
        <v>1294</v>
      </c>
      <c r="B31" s="4" t="s">
        <v>251</v>
      </c>
      <c r="C31" s="1" t="s">
        <v>1295</v>
      </c>
      <c r="D31" s="4" t="s">
        <v>1296</v>
      </c>
      <c r="E31" s="4" t="s">
        <v>1297</v>
      </c>
      <c r="F31" s="4" t="s">
        <v>1170</v>
      </c>
      <c r="G31" s="4">
        <v>12</v>
      </c>
    </row>
    <row r="32" spans="1:7">
      <c r="A32" s="4" t="s">
        <v>1298</v>
      </c>
      <c r="B32" s="4" t="s">
        <v>315</v>
      </c>
      <c r="C32" s="1" t="s">
        <v>1299</v>
      </c>
      <c r="D32" s="4"/>
      <c r="E32" s="4" t="s">
        <v>1300</v>
      </c>
      <c r="F32" s="4" t="s">
        <v>31</v>
      </c>
      <c r="G32" s="4">
        <v>11</v>
      </c>
    </row>
    <row r="33" spans="1:7">
      <c r="A33" s="4" t="s">
        <v>1301</v>
      </c>
      <c r="B33" s="4" t="s">
        <v>210</v>
      </c>
      <c r="C33" s="1" t="s">
        <v>1302</v>
      </c>
      <c r="D33" s="4" t="s">
        <v>1225</v>
      </c>
      <c r="E33" s="4" t="s">
        <v>1303</v>
      </c>
      <c r="F33" s="4" t="s">
        <v>31</v>
      </c>
      <c r="G33" s="4">
        <v>21</v>
      </c>
    </row>
    <row r="34" spans="1:7">
      <c r="A34" s="4" t="s">
        <v>1304</v>
      </c>
      <c r="B34" s="4" t="s">
        <v>197</v>
      </c>
      <c r="C34" s="1" t="s">
        <v>1305</v>
      </c>
      <c r="D34" s="4" t="s">
        <v>1229</v>
      </c>
      <c r="E34" s="4" t="s">
        <v>1306</v>
      </c>
      <c r="F34" s="4" t="s">
        <v>1166</v>
      </c>
      <c r="G34" s="4">
        <v>4</v>
      </c>
    </row>
    <row r="35" spans="1:7">
      <c r="A35" s="4" t="s">
        <v>1307</v>
      </c>
      <c r="B35" s="4" t="s">
        <v>240</v>
      </c>
      <c r="C35" s="1" t="s">
        <v>1308</v>
      </c>
      <c r="D35" s="4" t="s">
        <v>1296</v>
      </c>
      <c r="E35" s="4" t="s">
        <v>1309</v>
      </c>
      <c r="F35" s="4" t="s">
        <v>31</v>
      </c>
      <c r="G35" s="4">
        <v>18</v>
      </c>
    </row>
    <row r="36" spans="1:7">
      <c r="A36" s="4" t="s">
        <v>1310</v>
      </c>
      <c r="B36" s="4" t="s">
        <v>185</v>
      </c>
      <c r="C36" s="1" t="s">
        <v>1311</v>
      </c>
      <c r="D36" s="4" t="s">
        <v>1210</v>
      </c>
      <c r="E36" s="4" t="s">
        <v>1312</v>
      </c>
      <c r="F36" s="4" t="s">
        <v>31</v>
      </c>
      <c r="G36" s="4">
        <v>16</v>
      </c>
    </row>
    <row r="37" spans="1:7">
      <c r="A37" s="4" t="s">
        <v>1313</v>
      </c>
      <c r="B37" s="4" t="s">
        <v>321</v>
      </c>
      <c r="C37" s="1" t="s">
        <v>1314</v>
      </c>
      <c r="D37" s="4" t="s">
        <v>1296</v>
      </c>
      <c r="E37" s="4" t="s">
        <v>1315</v>
      </c>
      <c r="F37" s="4" t="s">
        <v>1166</v>
      </c>
      <c r="G37" s="4">
        <v>1</v>
      </c>
    </row>
    <row r="38" spans="1:7">
      <c r="A38" s="4" t="s">
        <v>1316</v>
      </c>
      <c r="B38" s="4" t="s">
        <v>251</v>
      </c>
      <c r="C38" s="1" t="s">
        <v>1317</v>
      </c>
      <c r="D38" s="4" t="s">
        <v>1225</v>
      </c>
      <c r="E38" s="4" t="s">
        <v>1318</v>
      </c>
      <c r="F38" s="4" t="s">
        <v>1164</v>
      </c>
      <c r="G38" s="4">
        <v>5</v>
      </c>
    </row>
    <row r="39" spans="1:7">
      <c r="A39" s="4" t="s">
        <v>1319</v>
      </c>
      <c r="B39" s="4" t="s">
        <v>234</v>
      </c>
      <c r="C39" s="1" t="s">
        <v>1320</v>
      </c>
      <c r="D39" s="4" t="s">
        <v>1214</v>
      </c>
      <c r="E39" s="4" t="s">
        <v>1321</v>
      </c>
      <c r="F39" s="4" t="s">
        <v>31</v>
      </c>
      <c r="G39" s="4">
        <v>9</v>
      </c>
    </row>
    <row r="40" spans="1:7">
      <c r="A40" s="4" t="s">
        <v>1322</v>
      </c>
      <c r="B40" s="4" t="s">
        <v>177</v>
      </c>
      <c r="C40" s="1" t="s">
        <v>1323</v>
      </c>
      <c r="D40" s="4" t="s">
        <v>1296</v>
      </c>
      <c r="E40" s="4" t="s">
        <v>1324</v>
      </c>
      <c r="F40" s="4" t="s">
        <v>1170</v>
      </c>
      <c r="G40" s="4">
        <v>9</v>
      </c>
    </row>
    <row r="41" spans="1:7">
      <c r="A41" s="4" t="s">
        <v>1325</v>
      </c>
      <c r="B41" s="4" t="s">
        <v>177</v>
      </c>
      <c r="C41" s="1" t="s">
        <v>1326</v>
      </c>
      <c r="D41" s="4" t="s">
        <v>1221</v>
      </c>
      <c r="E41" s="4" t="s">
        <v>1327</v>
      </c>
      <c r="F41" s="4" t="s">
        <v>1177</v>
      </c>
      <c r="G41" s="4">
        <v>19</v>
      </c>
    </row>
    <row r="42" spans="1:7">
      <c r="A42" s="4" t="s">
        <v>1328</v>
      </c>
      <c r="B42" s="4" t="s">
        <v>234</v>
      </c>
      <c r="C42" s="1" t="s">
        <v>1329</v>
      </c>
      <c r="D42" s="4" t="s">
        <v>1225</v>
      </c>
      <c r="E42" s="4" t="s">
        <v>1330</v>
      </c>
      <c r="F42" s="4" t="s">
        <v>31</v>
      </c>
      <c r="G42" s="4">
        <v>6</v>
      </c>
    </row>
    <row r="43" spans="1:7">
      <c r="A43" s="4" t="s">
        <v>1331</v>
      </c>
      <c r="B43" s="4" t="s">
        <v>215</v>
      </c>
      <c r="C43" s="1" t="s">
        <v>1332</v>
      </c>
      <c r="D43" s="4" t="s">
        <v>1221</v>
      </c>
      <c r="E43" s="4" t="s">
        <v>1333</v>
      </c>
      <c r="F43" s="4" t="s">
        <v>1170</v>
      </c>
      <c r="G43" s="4">
        <v>11</v>
      </c>
    </row>
    <row r="44" spans="1:7">
      <c r="A44" s="4" t="s">
        <v>1334</v>
      </c>
      <c r="B44" s="4" t="s">
        <v>68</v>
      </c>
      <c r="C44" s="1" t="s">
        <v>1335</v>
      </c>
      <c r="D44" s="4" t="s">
        <v>1225</v>
      </c>
      <c r="E44" s="4" t="s">
        <v>1336</v>
      </c>
      <c r="F44" s="4" t="s">
        <v>1166</v>
      </c>
      <c r="G44" s="4">
        <v>9</v>
      </c>
    </row>
    <row r="45" spans="1:7">
      <c r="A45" s="4" t="s">
        <v>1337</v>
      </c>
      <c r="B45" s="4" t="s">
        <v>197</v>
      </c>
      <c r="C45" s="1" t="s">
        <v>1338</v>
      </c>
      <c r="D45" s="4" t="s">
        <v>1214</v>
      </c>
      <c r="E45" s="4" t="s">
        <v>1339</v>
      </c>
      <c r="F45" s="4" t="s">
        <v>1166</v>
      </c>
      <c r="G45" s="4">
        <v>16</v>
      </c>
    </row>
    <row r="46" spans="1:7">
      <c r="A46" s="4" t="s">
        <v>1340</v>
      </c>
      <c r="B46" s="4" t="s">
        <v>50</v>
      </c>
      <c r="C46" s="1" t="s">
        <v>1341</v>
      </c>
      <c r="D46" s="4" t="s">
        <v>1210</v>
      </c>
      <c r="E46" s="4" t="s">
        <v>1342</v>
      </c>
      <c r="F46" s="4" t="s">
        <v>1177</v>
      </c>
      <c r="G46" s="4">
        <v>13</v>
      </c>
    </row>
    <row r="47" spans="1:7">
      <c r="A47" s="4" t="s">
        <v>1343</v>
      </c>
      <c r="B47" s="4" t="s">
        <v>167</v>
      </c>
      <c r="C47" s="1" t="s">
        <v>1344</v>
      </c>
      <c r="D47" s="4" t="s">
        <v>1210</v>
      </c>
      <c r="E47" s="4" t="s">
        <v>1345</v>
      </c>
      <c r="F47" s="4" t="s">
        <v>1166</v>
      </c>
      <c r="G47" s="4">
        <v>5</v>
      </c>
    </row>
    <row r="48" spans="1:7">
      <c r="A48" s="4" t="s">
        <v>1346</v>
      </c>
      <c r="B48" s="4" t="s">
        <v>421</v>
      </c>
      <c r="C48" s="1" t="s">
        <v>1347</v>
      </c>
      <c r="D48" s="4" t="s">
        <v>1210</v>
      </c>
      <c r="E48" s="4" t="s">
        <v>1348</v>
      </c>
      <c r="F48" s="4" t="s">
        <v>1177</v>
      </c>
      <c r="G48" s="4">
        <v>14</v>
      </c>
    </row>
    <row r="49" spans="1:7">
      <c r="A49" s="4" t="s">
        <v>1349</v>
      </c>
      <c r="B49" s="4" t="s">
        <v>62</v>
      </c>
      <c r="C49" s="1" t="s">
        <v>1350</v>
      </c>
      <c r="D49" s="4" t="s">
        <v>1214</v>
      </c>
      <c r="E49" s="4" t="s">
        <v>1351</v>
      </c>
      <c r="F49" s="4" t="s">
        <v>31</v>
      </c>
      <c r="G49" s="4">
        <v>17</v>
      </c>
    </row>
    <row r="50" spans="1:7">
      <c r="A50" s="4" t="s">
        <v>1352</v>
      </c>
      <c r="B50" s="4" t="s">
        <v>101</v>
      </c>
      <c r="C50" s="1" t="s">
        <v>1353</v>
      </c>
      <c r="D50" s="4" t="s">
        <v>1214</v>
      </c>
      <c r="E50" s="4" t="s">
        <v>1354</v>
      </c>
      <c r="F50" s="4" t="s">
        <v>31</v>
      </c>
      <c r="G50" s="4">
        <v>3</v>
      </c>
    </row>
    <row r="51" spans="1:7">
      <c r="A51" s="4" t="s">
        <v>1355</v>
      </c>
      <c r="B51" s="4" t="s">
        <v>68</v>
      </c>
      <c r="C51" s="1" t="s">
        <v>1356</v>
      </c>
      <c r="D51" s="4" t="s">
        <v>1239</v>
      </c>
      <c r="E51" s="4" t="s">
        <v>1357</v>
      </c>
      <c r="F51" s="4" t="s">
        <v>1164</v>
      </c>
      <c r="G51" s="4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516F-FDE3-45CC-88E8-19F97A5D997E}">
  <dimension ref="A1:G51"/>
  <sheetViews>
    <sheetView workbookViewId="0">
      <selection activeCell="J7" sqref="J7"/>
    </sheetView>
  </sheetViews>
  <sheetFormatPr defaultRowHeight="15"/>
  <cols>
    <col min="1" max="1" width="10.42578125" bestFit="1" customWidth="1"/>
    <col min="2" max="2" width="11.140625" bestFit="1" customWidth="1"/>
    <col min="3" max="3" width="12.85546875" bestFit="1" customWidth="1"/>
    <col min="4" max="4" width="13.85546875" bestFit="1" customWidth="1"/>
    <col min="5" max="5" width="15.85546875" bestFit="1" customWidth="1"/>
    <col min="6" max="6" width="10.42578125" bestFit="1" customWidth="1"/>
    <col min="7" max="7" width="15.7109375" bestFit="1" customWidth="1"/>
  </cols>
  <sheetData>
    <row r="1" spans="1:7">
      <c r="A1" s="4" t="s">
        <v>1196</v>
      </c>
      <c r="B1" s="4" t="s">
        <v>1</v>
      </c>
      <c r="C1" s="4" t="s">
        <v>1197</v>
      </c>
      <c r="D1" s="4" t="s">
        <v>1198</v>
      </c>
      <c r="E1" s="4" t="s">
        <v>1199</v>
      </c>
      <c r="F1" s="4" t="s">
        <v>1200</v>
      </c>
      <c r="G1" s="4" t="s">
        <v>1201</v>
      </c>
    </row>
    <row r="2" spans="1:7">
      <c r="A2" s="4" t="s">
        <v>1202</v>
      </c>
      <c r="B2" s="4" t="s">
        <v>350</v>
      </c>
      <c r="C2" s="14">
        <v>45273</v>
      </c>
      <c r="D2" s="4" t="s">
        <v>1358</v>
      </c>
      <c r="E2" s="13">
        <v>79.03</v>
      </c>
      <c r="F2" s="4" t="s">
        <v>1177</v>
      </c>
      <c r="G2" s="4">
        <v>19</v>
      </c>
    </row>
    <row r="3" spans="1:7">
      <c r="A3" s="4" t="s">
        <v>1205</v>
      </c>
      <c r="B3" s="4" t="s">
        <v>56</v>
      </c>
      <c r="C3" s="14">
        <v>45018</v>
      </c>
      <c r="D3" s="4" t="s">
        <v>1358</v>
      </c>
      <c r="E3" s="13">
        <v>49.47</v>
      </c>
      <c r="F3" s="4" t="s">
        <v>1177</v>
      </c>
      <c r="G3" s="4">
        <v>11</v>
      </c>
    </row>
    <row r="4" spans="1:7">
      <c r="A4" s="4" t="s">
        <v>1208</v>
      </c>
      <c r="B4" s="4" t="s">
        <v>321</v>
      </c>
      <c r="C4" s="14">
        <v>45381</v>
      </c>
      <c r="D4" s="4" t="s">
        <v>1210</v>
      </c>
      <c r="E4" s="13">
        <v>103.68</v>
      </c>
      <c r="F4" s="4" t="s">
        <v>31</v>
      </c>
      <c r="G4" s="4">
        <v>19</v>
      </c>
    </row>
    <row r="5" spans="1:7">
      <c r="A5" s="4" t="s">
        <v>1212</v>
      </c>
      <c r="B5" s="4" t="s">
        <v>234</v>
      </c>
      <c r="C5" s="14">
        <v>45246</v>
      </c>
      <c r="D5" s="4" t="s">
        <v>1214</v>
      </c>
      <c r="E5" s="13">
        <v>66.55</v>
      </c>
      <c r="F5" s="4" t="s">
        <v>1162</v>
      </c>
      <c r="G5" s="4">
        <v>6</v>
      </c>
    </row>
    <row r="6" spans="1:7">
      <c r="A6" s="4" t="s">
        <v>1216</v>
      </c>
      <c r="B6" s="4" t="s">
        <v>197</v>
      </c>
      <c r="C6" s="14">
        <v>45309</v>
      </c>
      <c r="D6" s="4" t="s">
        <v>1218</v>
      </c>
      <c r="E6" s="13">
        <v>225.68</v>
      </c>
      <c r="F6" s="4" t="s">
        <v>31</v>
      </c>
      <c r="G6" s="4">
        <v>10</v>
      </c>
    </row>
    <row r="7" spans="1:7">
      <c r="A7" s="4" t="s">
        <v>1220</v>
      </c>
      <c r="B7" s="4" t="s">
        <v>113</v>
      </c>
      <c r="C7" s="14">
        <v>45111</v>
      </c>
      <c r="D7" s="4" t="s">
        <v>1221</v>
      </c>
      <c r="E7" s="13">
        <v>29.39</v>
      </c>
      <c r="F7" s="4" t="s">
        <v>1162</v>
      </c>
      <c r="G7" s="4">
        <v>15</v>
      </c>
    </row>
    <row r="8" spans="1:7">
      <c r="A8" s="4" t="s">
        <v>1223</v>
      </c>
      <c r="B8" s="4" t="s">
        <v>113</v>
      </c>
      <c r="C8" s="14">
        <v>45157</v>
      </c>
      <c r="D8" s="4" t="s">
        <v>1225</v>
      </c>
      <c r="E8" s="13">
        <v>34.340000000000003</v>
      </c>
      <c r="F8" s="4" t="s">
        <v>1177</v>
      </c>
      <c r="G8" s="4">
        <v>15</v>
      </c>
    </row>
    <row r="9" spans="1:7">
      <c r="A9" s="4" t="s">
        <v>1227</v>
      </c>
      <c r="B9" s="4" t="s">
        <v>197</v>
      </c>
      <c r="C9" s="14">
        <v>45015</v>
      </c>
      <c r="D9" s="4" t="s">
        <v>1229</v>
      </c>
      <c r="E9" s="13">
        <v>9.8000000000000007</v>
      </c>
      <c r="F9" s="4" t="s">
        <v>1177</v>
      </c>
      <c r="G9" s="4">
        <v>20</v>
      </c>
    </row>
    <row r="10" spans="1:7">
      <c r="A10" s="4" t="s">
        <v>1231</v>
      </c>
      <c r="B10" s="4" t="s">
        <v>393</v>
      </c>
      <c r="C10" s="14">
        <v>45261</v>
      </c>
      <c r="D10" s="4" t="s">
        <v>1218</v>
      </c>
      <c r="E10" s="13">
        <v>86.41</v>
      </c>
      <c r="F10" s="4" t="s">
        <v>1177</v>
      </c>
      <c r="G10" s="4">
        <v>18</v>
      </c>
    </row>
    <row r="11" spans="1:7">
      <c r="A11" s="4" t="s">
        <v>1234</v>
      </c>
      <c r="B11" s="4" t="s">
        <v>421</v>
      </c>
      <c r="C11" s="14">
        <v>44943</v>
      </c>
      <c r="D11" s="4" t="s">
        <v>1358</v>
      </c>
      <c r="E11" s="13">
        <v>111.71</v>
      </c>
      <c r="F11" s="4" t="s">
        <v>1162</v>
      </c>
      <c r="G11" s="4">
        <v>11</v>
      </c>
    </row>
    <row r="12" spans="1:7">
      <c r="A12" s="4" t="s">
        <v>1237</v>
      </c>
      <c r="B12" s="4" t="s">
        <v>234</v>
      </c>
      <c r="C12" s="14">
        <v>45093</v>
      </c>
      <c r="D12" s="4" t="s">
        <v>1239</v>
      </c>
      <c r="E12" s="13">
        <v>288.26</v>
      </c>
      <c r="F12" s="4" t="s">
        <v>1177</v>
      </c>
      <c r="G12" s="4">
        <v>3</v>
      </c>
    </row>
    <row r="13" spans="1:7">
      <c r="A13" s="4" t="s">
        <v>1241</v>
      </c>
      <c r="B13" s="4" t="s">
        <v>210</v>
      </c>
      <c r="C13" s="14">
        <v>45172</v>
      </c>
      <c r="D13" s="4" t="s">
        <v>1229</v>
      </c>
      <c r="E13" s="13">
        <v>62.71</v>
      </c>
      <c r="F13" s="4" t="s">
        <v>1162</v>
      </c>
      <c r="G13" s="4">
        <v>13</v>
      </c>
    </row>
    <row r="14" spans="1:7">
      <c r="A14" s="4" t="s">
        <v>1244</v>
      </c>
      <c r="B14" s="4" t="s">
        <v>185</v>
      </c>
      <c r="C14" s="14">
        <v>44947</v>
      </c>
      <c r="D14" s="4" t="s">
        <v>1214</v>
      </c>
      <c r="E14" s="13">
        <v>204.3</v>
      </c>
      <c r="F14" s="4" t="s">
        <v>1177</v>
      </c>
      <c r="G14" s="4">
        <v>20</v>
      </c>
    </row>
    <row r="15" spans="1:7">
      <c r="A15" s="4" t="s">
        <v>1247</v>
      </c>
      <c r="B15" s="4" t="s">
        <v>354</v>
      </c>
      <c r="C15" s="14">
        <v>44980</v>
      </c>
      <c r="D15" s="4" t="s">
        <v>1218</v>
      </c>
      <c r="E15" s="13">
        <v>153.41999999999999</v>
      </c>
      <c r="F15" s="4" t="s">
        <v>31</v>
      </c>
      <c r="G15" s="4">
        <v>4</v>
      </c>
    </row>
    <row r="16" spans="1:7">
      <c r="A16" s="4" t="s">
        <v>1250</v>
      </c>
      <c r="B16" s="4" t="s">
        <v>451</v>
      </c>
      <c r="C16" s="14">
        <v>45145</v>
      </c>
      <c r="D16" s="4" t="s">
        <v>1358</v>
      </c>
      <c r="E16" s="13">
        <v>53.56</v>
      </c>
      <c r="F16" s="4" t="s">
        <v>1177</v>
      </c>
      <c r="G16" s="4">
        <v>18</v>
      </c>
    </row>
    <row r="17" spans="1:7">
      <c r="A17" s="4" t="s">
        <v>1253</v>
      </c>
      <c r="B17" s="4" t="s">
        <v>350</v>
      </c>
      <c r="C17" s="14">
        <v>45299</v>
      </c>
      <c r="D17" s="4" t="s">
        <v>1239</v>
      </c>
      <c r="E17" s="13">
        <v>282.52</v>
      </c>
      <c r="F17" s="4" t="s">
        <v>31</v>
      </c>
      <c r="G17" s="4">
        <v>5</v>
      </c>
    </row>
    <row r="18" spans="1:7">
      <c r="A18" s="4" t="s">
        <v>1256</v>
      </c>
      <c r="B18" s="4" t="s">
        <v>20</v>
      </c>
      <c r="C18" s="14">
        <v>45001</v>
      </c>
      <c r="D18" s="4" t="s">
        <v>1221</v>
      </c>
      <c r="E18" s="13">
        <v>99.99</v>
      </c>
      <c r="F18" s="4" t="s">
        <v>31</v>
      </c>
      <c r="G18" s="4">
        <v>7</v>
      </c>
    </row>
    <row r="19" spans="1:7">
      <c r="A19" s="4" t="s">
        <v>1259</v>
      </c>
      <c r="B19" s="4" t="s">
        <v>350</v>
      </c>
      <c r="C19" s="14">
        <v>45137</v>
      </c>
      <c r="D19" s="4" t="s">
        <v>1214</v>
      </c>
      <c r="E19" s="13">
        <v>224.38</v>
      </c>
      <c r="F19" s="4" t="s">
        <v>31</v>
      </c>
      <c r="G19" s="4">
        <v>12</v>
      </c>
    </row>
    <row r="20" spans="1:7">
      <c r="A20" s="4" t="s">
        <v>1262</v>
      </c>
      <c r="B20" s="4" t="s">
        <v>271</v>
      </c>
      <c r="C20" s="14">
        <v>45413</v>
      </c>
      <c r="D20" s="4" t="s">
        <v>1210</v>
      </c>
      <c r="E20" s="13">
        <v>165.6</v>
      </c>
      <c r="F20" s="4" t="s">
        <v>1162</v>
      </c>
      <c r="G20" s="4">
        <v>6</v>
      </c>
    </row>
    <row r="21" spans="1:7">
      <c r="A21" s="4" t="s">
        <v>1265</v>
      </c>
      <c r="B21" s="4" t="s">
        <v>210</v>
      </c>
      <c r="C21" s="14">
        <v>45198</v>
      </c>
      <c r="D21" s="4" t="s">
        <v>1210</v>
      </c>
      <c r="E21" s="13">
        <v>160.28</v>
      </c>
      <c r="F21" s="4" t="s">
        <v>1177</v>
      </c>
      <c r="G21" s="4">
        <v>11</v>
      </c>
    </row>
    <row r="22" spans="1:7">
      <c r="A22" s="4" t="s">
        <v>1268</v>
      </c>
      <c r="B22" s="4" t="s">
        <v>185</v>
      </c>
      <c r="C22" s="14">
        <v>45245</v>
      </c>
      <c r="D22" s="4" t="s">
        <v>1218</v>
      </c>
      <c r="E22" s="13">
        <v>146.41</v>
      </c>
      <c r="F22" s="4" t="s">
        <v>1162</v>
      </c>
      <c r="G22" s="4">
        <v>6</v>
      </c>
    </row>
    <row r="23" spans="1:7">
      <c r="A23" s="4" t="s">
        <v>1271</v>
      </c>
      <c r="B23" s="4" t="s">
        <v>369</v>
      </c>
      <c r="C23" s="14">
        <v>45319</v>
      </c>
      <c r="D23" s="4" t="s">
        <v>1229</v>
      </c>
      <c r="E23" s="13">
        <v>106.89</v>
      </c>
      <c r="F23" s="4" t="s">
        <v>1177</v>
      </c>
      <c r="G23" s="4">
        <v>12</v>
      </c>
    </row>
    <row r="24" spans="1:7">
      <c r="A24" s="4" t="s">
        <v>1274</v>
      </c>
      <c r="B24" s="4" t="s">
        <v>234</v>
      </c>
      <c r="C24" s="14">
        <v>45153</v>
      </c>
      <c r="D24" s="4" t="s">
        <v>1225</v>
      </c>
      <c r="E24" s="13">
        <v>88.09</v>
      </c>
      <c r="F24" s="4" t="s">
        <v>1162</v>
      </c>
      <c r="G24" s="4">
        <v>10</v>
      </c>
    </row>
    <row r="25" spans="1:7">
      <c r="A25" s="4" t="s">
        <v>1276</v>
      </c>
      <c r="B25" s="4" t="s">
        <v>431</v>
      </c>
      <c r="C25" s="14">
        <v>45080</v>
      </c>
      <c r="D25" s="4" t="s">
        <v>1225</v>
      </c>
      <c r="E25" s="13">
        <v>180.3</v>
      </c>
      <c r="F25" s="4" t="s">
        <v>1177</v>
      </c>
      <c r="G25" s="4">
        <v>18</v>
      </c>
    </row>
    <row r="26" spans="1:7">
      <c r="A26" s="4" t="s">
        <v>1279</v>
      </c>
      <c r="B26" s="4" t="s">
        <v>95</v>
      </c>
      <c r="C26" s="14">
        <v>45249</v>
      </c>
      <c r="D26" s="4" t="s">
        <v>1229</v>
      </c>
      <c r="E26" s="13">
        <v>52.19</v>
      </c>
      <c r="F26" s="4" t="s">
        <v>1162</v>
      </c>
      <c r="G26" s="4">
        <v>21</v>
      </c>
    </row>
    <row r="27" spans="1:7">
      <c r="A27" s="4" t="s">
        <v>1282</v>
      </c>
      <c r="B27" s="4" t="s">
        <v>451</v>
      </c>
      <c r="C27" s="14">
        <v>45029</v>
      </c>
      <c r="D27" s="4" t="s">
        <v>1210</v>
      </c>
      <c r="E27" s="13">
        <v>296.82</v>
      </c>
      <c r="F27" s="4" t="s">
        <v>1162</v>
      </c>
      <c r="G27" s="4">
        <v>11</v>
      </c>
    </row>
    <row r="28" spans="1:7">
      <c r="A28" s="4" t="s">
        <v>1285</v>
      </c>
      <c r="B28" s="4" t="s">
        <v>12</v>
      </c>
      <c r="C28" s="14">
        <v>45397</v>
      </c>
      <c r="D28" s="4" t="s">
        <v>1229</v>
      </c>
      <c r="E28" s="13">
        <v>3.39</v>
      </c>
      <c r="F28" s="4" t="s">
        <v>1162</v>
      </c>
      <c r="G28" s="4">
        <v>21</v>
      </c>
    </row>
    <row r="29" spans="1:7">
      <c r="A29" s="4" t="s">
        <v>1288</v>
      </c>
      <c r="B29" s="4" t="s">
        <v>68</v>
      </c>
      <c r="C29" s="14">
        <v>45248</v>
      </c>
      <c r="D29" s="4" t="s">
        <v>1210</v>
      </c>
      <c r="E29" s="13">
        <v>160.79</v>
      </c>
      <c r="F29" s="4" t="s">
        <v>1177</v>
      </c>
      <c r="G29" s="4">
        <v>14</v>
      </c>
    </row>
    <row r="30" spans="1:7">
      <c r="A30" s="4" t="s">
        <v>1291</v>
      </c>
      <c r="B30" s="4" t="s">
        <v>393</v>
      </c>
      <c r="C30" s="14">
        <v>45263</v>
      </c>
      <c r="D30" s="4" t="s">
        <v>1221</v>
      </c>
      <c r="E30" s="13">
        <v>35735</v>
      </c>
      <c r="F30" s="4" t="s">
        <v>1162</v>
      </c>
      <c r="G30" s="4">
        <v>14</v>
      </c>
    </row>
    <row r="31" spans="1:7">
      <c r="A31" s="4" t="s">
        <v>1294</v>
      </c>
      <c r="B31" s="4" t="s">
        <v>251</v>
      </c>
      <c r="C31" s="14">
        <v>45356</v>
      </c>
      <c r="D31" s="4" t="s">
        <v>1296</v>
      </c>
      <c r="E31" s="13">
        <v>83.23</v>
      </c>
      <c r="F31" s="4" t="s">
        <v>1162</v>
      </c>
      <c r="G31" s="4">
        <v>12</v>
      </c>
    </row>
    <row r="32" spans="1:7">
      <c r="A32" s="4" t="s">
        <v>1298</v>
      </c>
      <c r="B32" s="4" t="s">
        <v>315</v>
      </c>
      <c r="C32" s="14">
        <v>45092</v>
      </c>
      <c r="D32" s="4" t="s">
        <v>1358</v>
      </c>
      <c r="E32" s="13">
        <v>36.630000000000003</v>
      </c>
      <c r="F32" s="4" t="s">
        <v>31</v>
      </c>
      <c r="G32" s="4">
        <v>11</v>
      </c>
    </row>
    <row r="33" spans="1:7">
      <c r="A33" s="4" t="s">
        <v>1301</v>
      </c>
      <c r="B33" s="4" t="s">
        <v>210</v>
      </c>
      <c r="C33" s="14">
        <v>45137</v>
      </c>
      <c r="D33" s="4" t="s">
        <v>1225</v>
      </c>
      <c r="E33" s="13">
        <v>193.21</v>
      </c>
      <c r="F33" s="4" t="s">
        <v>31</v>
      </c>
      <c r="G33" s="4">
        <v>21</v>
      </c>
    </row>
    <row r="34" spans="1:7">
      <c r="A34" s="4" t="s">
        <v>1304</v>
      </c>
      <c r="B34" s="4" t="s">
        <v>197</v>
      </c>
      <c r="C34" s="14">
        <v>45465</v>
      </c>
      <c r="D34" s="4" t="s">
        <v>1229</v>
      </c>
      <c r="E34" s="13">
        <v>155.47</v>
      </c>
      <c r="F34" s="4" t="s">
        <v>1177</v>
      </c>
      <c r="G34" s="4">
        <v>4</v>
      </c>
    </row>
    <row r="35" spans="1:7">
      <c r="A35" s="4" t="s">
        <v>1307</v>
      </c>
      <c r="B35" s="4" t="s">
        <v>240</v>
      </c>
      <c r="C35" s="14">
        <v>45111</v>
      </c>
      <c r="D35" s="4" t="s">
        <v>1296</v>
      </c>
      <c r="E35" s="13">
        <v>77.11</v>
      </c>
      <c r="F35" s="4" t="s">
        <v>31</v>
      </c>
      <c r="G35" s="4">
        <v>18</v>
      </c>
    </row>
    <row r="36" spans="1:7">
      <c r="A36" s="4" t="s">
        <v>1310</v>
      </c>
      <c r="B36" s="4" t="s">
        <v>185</v>
      </c>
      <c r="C36" s="14">
        <v>45210</v>
      </c>
      <c r="D36" s="4" t="s">
        <v>1210</v>
      </c>
      <c r="E36" s="13">
        <v>26.68</v>
      </c>
      <c r="F36" s="4" t="s">
        <v>31</v>
      </c>
      <c r="G36" s="4">
        <v>16</v>
      </c>
    </row>
    <row r="37" spans="1:7">
      <c r="A37" s="4" t="s">
        <v>1313</v>
      </c>
      <c r="B37" s="4" t="s">
        <v>321</v>
      </c>
      <c r="C37" s="14">
        <v>45124</v>
      </c>
      <c r="D37" s="4" t="s">
        <v>1296</v>
      </c>
      <c r="E37" s="13">
        <v>16.940000000000001</v>
      </c>
      <c r="F37" s="4" t="s">
        <v>1177</v>
      </c>
      <c r="G37" s="4">
        <v>1</v>
      </c>
    </row>
    <row r="38" spans="1:7">
      <c r="A38" s="4" t="s">
        <v>1316</v>
      </c>
      <c r="B38" s="4" t="s">
        <v>251</v>
      </c>
      <c r="C38" s="14">
        <v>45447</v>
      </c>
      <c r="D38" s="4" t="s">
        <v>1225</v>
      </c>
      <c r="E38" s="13">
        <v>93.71</v>
      </c>
      <c r="F38" s="4" t="s">
        <v>1177</v>
      </c>
      <c r="G38" s="4">
        <v>5</v>
      </c>
    </row>
    <row r="39" spans="1:7">
      <c r="A39" s="4" t="s">
        <v>1319</v>
      </c>
      <c r="B39" s="4" t="s">
        <v>234</v>
      </c>
      <c r="C39" s="14">
        <v>45258</v>
      </c>
      <c r="D39" s="4" t="s">
        <v>1214</v>
      </c>
      <c r="E39" s="13">
        <v>24.61</v>
      </c>
      <c r="F39" s="4" t="s">
        <v>31</v>
      </c>
      <c r="G39" s="4">
        <v>9</v>
      </c>
    </row>
    <row r="40" spans="1:7">
      <c r="A40" s="4" t="s">
        <v>1322</v>
      </c>
      <c r="B40" s="4" t="s">
        <v>177</v>
      </c>
      <c r="C40" s="14">
        <v>45296</v>
      </c>
      <c r="D40" s="4" t="s">
        <v>1296</v>
      </c>
      <c r="E40" s="13">
        <v>103.31</v>
      </c>
      <c r="F40" s="4" t="s">
        <v>1162</v>
      </c>
      <c r="G40" s="4">
        <v>9</v>
      </c>
    </row>
    <row r="41" spans="1:7">
      <c r="A41" s="4" t="s">
        <v>1325</v>
      </c>
      <c r="B41" s="4" t="s">
        <v>177</v>
      </c>
      <c r="C41" s="14">
        <v>45370</v>
      </c>
      <c r="D41" s="4" t="s">
        <v>1221</v>
      </c>
      <c r="E41" s="13">
        <v>114.13</v>
      </c>
      <c r="F41" s="4" t="s">
        <v>1177</v>
      </c>
      <c r="G41" s="4">
        <v>19</v>
      </c>
    </row>
    <row r="42" spans="1:7">
      <c r="A42" s="4" t="s">
        <v>1328</v>
      </c>
      <c r="B42" s="4" t="s">
        <v>234</v>
      </c>
      <c r="C42" s="14">
        <v>45087</v>
      </c>
      <c r="D42" s="4" t="s">
        <v>1225</v>
      </c>
      <c r="E42" s="13">
        <v>214.56</v>
      </c>
      <c r="F42" s="4" t="s">
        <v>31</v>
      </c>
      <c r="G42" s="4">
        <v>6</v>
      </c>
    </row>
    <row r="43" spans="1:7">
      <c r="A43" s="4" t="s">
        <v>1331</v>
      </c>
      <c r="B43" s="4" t="s">
        <v>215</v>
      </c>
      <c r="C43" s="14">
        <v>45280</v>
      </c>
      <c r="D43" s="4" t="s">
        <v>1221</v>
      </c>
      <c r="E43" s="13">
        <v>257.54000000000002</v>
      </c>
      <c r="F43" s="4" t="s">
        <v>1162</v>
      </c>
      <c r="G43" s="4">
        <v>11</v>
      </c>
    </row>
    <row r="44" spans="1:7">
      <c r="A44" s="4" t="s">
        <v>1334</v>
      </c>
      <c r="B44" s="4" t="s">
        <v>68</v>
      </c>
      <c r="C44" s="14">
        <v>45184</v>
      </c>
      <c r="D44" s="4" t="s">
        <v>1225</v>
      </c>
      <c r="E44" s="13">
        <v>217.64</v>
      </c>
      <c r="F44" s="4" t="s">
        <v>1177</v>
      </c>
      <c r="G44" s="4">
        <v>9</v>
      </c>
    </row>
    <row r="45" spans="1:7">
      <c r="A45" s="4" t="s">
        <v>1337</v>
      </c>
      <c r="B45" s="4" t="s">
        <v>197</v>
      </c>
      <c r="C45" s="14">
        <v>45004</v>
      </c>
      <c r="D45" s="4" t="s">
        <v>1214</v>
      </c>
      <c r="E45" s="13">
        <v>281.01</v>
      </c>
      <c r="F45" s="4" t="s">
        <v>1177</v>
      </c>
      <c r="G45" s="4">
        <v>16</v>
      </c>
    </row>
    <row r="46" spans="1:7">
      <c r="A46" s="4" t="s">
        <v>1340</v>
      </c>
      <c r="B46" s="4" t="s">
        <v>50</v>
      </c>
      <c r="C46" s="14">
        <v>45226</v>
      </c>
      <c r="D46" s="4" t="s">
        <v>1210</v>
      </c>
      <c r="E46" s="13">
        <v>286.76</v>
      </c>
      <c r="F46" s="4" t="s">
        <v>1177</v>
      </c>
      <c r="G46" s="4">
        <v>13</v>
      </c>
    </row>
    <row r="47" spans="1:7">
      <c r="A47" s="4" t="s">
        <v>1343</v>
      </c>
      <c r="B47" s="4" t="s">
        <v>167</v>
      </c>
      <c r="C47" s="14">
        <v>45370</v>
      </c>
      <c r="D47" s="4" t="s">
        <v>1210</v>
      </c>
      <c r="E47" s="13">
        <v>298.49</v>
      </c>
      <c r="F47" s="4" t="s">
        <v>1177</v>
      </c>
      <c r="G47" s="4">
        <v>5</v>
      </c>
    </row>
    <row r="48" spans="1:7">
      <c r="A48" s="4" t="s">
        <v>1346</v>
      </c>
      <c r="B48" s="4" t="s">
        <v>421</v>
      </c>
      <c r="C48" s="14">
        <v>45051</v>
      </c>
      <c r="D48" s="4" t="s">
        <v>1210</v>
      </c>
      <c r="E48" s="13">
        <v>92.28</v>
      </c>
      <c r="F48" s="4" t="s">
        <v>1177</v>
      </c>
      <c r="G48" s="4">
        <v>14</v>
      </c>
    </row>
    <row r="49" spans="1:7">
      <c r="A49" s="4" t="s">
        <v>1349</v>
      </c>
      <c r="B49" s="4" t="s">
        <v>62</v>
      </c>
      <c r="C49" s="14">
        <v>45205</v>
      </c>
      <c r="D49" s="4" t="s">
        <v>1214</v>
      </c>
      <c r="E49" s="13">
        <v>52.18</v>
      </c>
      <c r="F49" s="4" t="s">
        <v>31</v>
      </c>
      <c r="G49" s="4">
        <v>17</v>
      </c>
    </row>
    <row r="50" spans="1:7">
      <c r="A50" s="4" t="s">
        <v>1352</v>
      </c>
      <c r="B50" s="4" t="s">
        <v>101</v>
      </c>
      <c r="C50" s="14">
        <v>45372</v>
      </c>
      <c r="D50" s="4" t="s">
        <v>1214</v>
      </c>
      <c r="E50" s="13">
        <v>192.8</v>
      </c>
      <c r="F50" s="4" t="s">
        <v>31</v>
      </c>
      <c r="G50" s="4">
        <v>3</v>
      </c>
    </row>
    <row r="51" spans="1:7">
      <c r="A51" s="4" t="s">
        <v>1355</v>
      </c>
      <c r="B51" s="4" t="s">
        <v>68</v>
      </c>
      <c r="C51" s="14">
        <v>45302</v>
      </c>
      <c r="D51" s="4" t="s">
        <v>1239</v>
      </c>
      <c r="E51" s="13">
        <v>19.2</v>
      </c>
      <c r="F51" s="4" t="s">
        <v>1177</v>
      </c>
      <c r="G51" s="4">
        <v>8</v>
      </c>
    </row>
  </sheetData>
  <conditionalFormatting sqref="G2:G51">
    <cfRule type="cellIs" dxfId="55" priority="1" operator="greater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1C75-9040-42EB-AB01-5707A5C776A4}">
  <dimension ref="A1:U20"/>
  <sheetViews>
    <sheetView workbookViewId="0">
      <selection activeCell="E14" sqref="E14"/>
    </sheetView>
  </sheetViews>
  <sheetFormatPr defaultRowHeight="15"/>
  <cols>
    <col min="1" max="1" width="13.140625" bestFit="1" customWidth="1"/>
    <col min="2" max="2" width="17" bestFit="1" customWidth="1"/>
    <col min="3" max="3" width="17.5703125" bestFit="1" customWidth="1"/>
    <col min="4" max="4" width="13.85546875" bestFit="1" customWidth="1"/>
    <col min="5" max="5" width="15" bestFit="1" customWidth="1"/>
    <col min="6" max="7" width="12.5703125" bestFit="1" customWidth="1"/>
    <col min="8" max="8" width="14.7109375" bestFit="1" customWidth="1"/>
    <col min="9" max="9" width="14" bestFit="1" customWidth="1"/>
    <col min="10" max="12" width="12.5703125" bestFit="1" customWidth="1"/>
    <col min="13" max="13" width="11.42578125" bestFit="1" customWidth="1"/>
  </cols>
  <sheetData>
    <row r="1" spans="1:21">
      <c r="A1" s="5" t="s">
        <v>1359</v>
      </c>
      <c r="B1" s="5" t="s">
        <v>1360</v>
      </c>
      <c r="C1" s="5" t="s">
        <v>1361</v>
      </c>
      <c r="D1" s="5" t="s">
        <v>1362</v>
      </c>
      <c r="E1" s="5" t="s">
        <v>1363</v>
      </c>
      <c r="F1" s="5" t="s">
        <v>1160</v>
      </c>
      <c r="G1" s="5"/>
      <c r="H1" s="11" t="s">
        <v>1364</v>
      </c>
      <c r="I1" s="9" t="s">
        <v>7</v>
      </c>
      <c r="J1" s="4" t="s">
        <v>1365</v>
      </c>
      <c r="K1" s="4" t="s">
        <v>1366</v>
      </c>
      <c r="L1" s="4" t="s">
        <v>1367</v>
      </c>
      <c r="M1" s="4" t="s">
        <v>1368</v>
      </c>
      <c r="N1" s="4" t="s">
        <v>1369</v>
      </c>
      <c r="O1" s="4" t="s">
        <v>1370</v>
      </c>
      <c r="P1" s="4" t="s">
        <v>1371</v>
      </c>
      <c r="Q1" s="4" t="s">
        <v>1372</v>
      </c>
      <c r="R1" s="4" t="s">
        <v>1373</v>
      </c>
      <c r="S1" s="4" t="s">
        <v>1374</v>
      </c>
      <c r="T1" s="4" t="s">
        <v>1375</v>
      </c>
      <c r="U1" s="4" t="s">
        <v>1376</v>
      </c>
    </row>
    <row r="2" spans="1:21">
      <c r="A2" s="5" t="s">
        <v>53</v>
      </c>
      <c r="B2" s="5" t="s">
        <v>555</v>
      </c>
      <c r="C2" s="5" t="s">
        <v>1377</v>
      </c>
      <c r="D2" s="6">
        <v>850000</v>
      </c>
      <c r="E2" s="5">
        <v>8.1999999999999993</v>
      </c>
      <c r="F2" s="5" t="s">
        <v>1177</v>
      </c>
      <c r="G2" s="5"/>
      <c r="H2" s="5"/>
      <c r="I2" s="4" t="s">
        <v>555</v>
      </c>
      <c r="J2" s="10">
        <v>113047</v>
      </c>
      <c r="K2" s="10">
        <v>72740</v>
      </c>
      <c r="L2" s="10">
        <v>99606</v>
      </c>
      <c r="M2" s="10">
        <v>73940</v>
      </c>
      <c r="N2" s="10">
        <v>57126</v>
      </c>
      <c r="O2" s="10">
        <v>52441</v>
      </c>
      <c r="P2" s="10">
        <v>78781</v>
      </c>
      <c r="Q2" s="10">
        <v>47665</v>
      </c>
      <c r="R2" s="10">
        <v>42947</v>
      </c>
      <c r="S2" s="10">
        <v>86818</v>
      </c>
      <c r="T2" s="10">
        <v>119147</v>
      </c>
      <c r="U2" s="10">
        <v>83344</v>
      </c>
    </row>
    <row r="3" spans="1:21">
      <c r="A3" s="5" t="s">
        <v>146</v>
      </c>
      <c r="B3" s="5" t="s">
        <v>557</v>
      </c>
      <c r="C3" s="5" t="s">
        <v>1378</v>
      </c>
      <c r="D3" s="6">
        <v>1200000</v>
      </c>
      <c r="E3" s="5">
        <v>14.1</v>
      </c>
      <c r="F3" s="5" t="s">
        <v>1177</v>
      </c>
      <c r="G3" s="5"/>
      <c r="H3" s="5"/>
      <c r="I3" s="10" t="s">
        <v>557</v>
      </c>
      <c r="J3" s="10">
        <v>81860</v>
      </c>
      <c r="K3" s="10">
        <v>88927</v>
      </c>
      <c r="L3" s="10">
        <v>110461</v>
      </c>
      <c r="M3" s="10">
        <v>75264</v>
      </c>
      <c r="N3" s="10">
        <v>77756</v>
      </c>
      <c r="O3" s="10">
        <v>107898</v>
      </c>
      <c r="P3" s="10">
        <v>71355</v>
      </c>
      <c r="Q3" s="10">
        <v>82611</v>
      </c>
      <c r="R3" s="10">
        <v>40690</v>
      </c>
      <c r="S3" s="10">
        <v>67299</v>
      </c>
      <c r="T3" s="10">
        <v>55402</v>
      </c>
      <c r="U3" s="10">
        <v>77989</v>
      </c>
    </row>
    <row r="4" spans="1:21">
      <c r="A4" s="5" t="s">
        <v>223</v>
      </c>
      <c r="B4" s="5" t="s">
        <v>562</v>
      </c>
      <c r="C4" s="5" t="s">
        <v>1379</v>
      </c>
      <c r="D4" s="6">
        <v>700000</v>
      </c>
      <c r="E4" s="5">
        <v>6.3</v>
      </c>
      <c r="F4" s="5" t="s">
        <v>1177</v>
      </c>
      <c r="G4" s="5"/>
      <c r="H4" s="5"/>
      <c r="I4" s="10" t="s">
        <v>562</v>
      </c>
      <c r="J4" s="10">
        <v>64321</v>
      </c>
      <c r="K4" s="10">
        <v>107670</v>
      </c>
      <c r="L4" s="10">
        <v>55493</v>
      </c>
      <c r="M4" s="10">
        <v>117444</v>
      </c>
      <c r="N4" s="10">
        <v>102393</v>
      </c>
      <c r="O4" s="10">
        <v>73807</v>
      </c>
      <c r="P4" s="10">
        <v>49070</v>
      </c>
      <c r="Q4" s="10">
        <v>88068</v>
      </c>
      <c r="R4" s="10">
        <v>87426</v>
      </c>
      <c r="S4" s="10">
        <v>103209</v>
      </c>
      <c r="T4" s="10">
        <v>102964</v>
      </c>
      <c r="U4" s="10">
        <v>88135</v>
      </c>
    </row>
    <row r="5" spans="1:21">
      <c r="A5" s="5" t="s">
        <v>154</v>
      </c>
      <c r="B5" s="5" t="s">
        <v>553</v>
      </c>
      <c r="C5" s="5" t="s">
        <v>1380</v>
      </c>
      <c r="D5" s="6">
        <v>750000</v>
      </c>
      <c r="E5" s="5">
        <v>5.8</v>
      </c>
      <c r="F5" s="5" t="s">
        <v>1177</v>
      </c>
      <c r="G5" s="5"/>
      <c r="H5" s="5"/>
      <c r="I5" s="10" t="s">
        <v>553</v>
      </c>
      <c r="J5" s="10">
        <v>84202</v>
      </c>
      <c r="K5" s="10">
        <v>113395</v>
      </c>
      <c r="L5" s="10">
        <v>64807</v>
      </c>
      <c r="M5" s="10">
        <v>100928</v>
      </c>
      <c r="N5" s="10">
        <v>104554</v>
      </c>
      <c r="O5" s="10">
        <v>117077</v>
      </c>
      <c r="P5" s="10">
        <v>41371</v>
      </c>
      <c r="Q5" s="10">
        <v>99345</v>
      </c>
      <c r="R5" s="10">
        <v>42211</v>
      </c>
      <c r="S5" s="10">
        <v>80780</v>
      </c>
      <c r="T5" s="10">
        <v>108269</v>
      </c>
      <c r="U5" s="10">
        <v>76733</v>
      </c>
    </row>
    <row r="6" spans="1:21">
      <c r="A6" s="5" t="s">
        <v>192</v>
      </c>
      <c r="B6" s="5" t="s">
        <v>192</v>
      </c>
      <c r="C6" s="5" t="s">
        <v>1381</v>
      </c>
      <c r="D6" s="6">
        <v>900000</v>
      </c>
      <c r="E6" s="5">
        <v>10.7</v>
      </c>
      <c r="F6" s="5" t="s">
        <v>1177</v>
      </c>
      <c r="G6" s="5"/>
      <c r="H6" s="5"/>
      <c r="I6" s="10" t="s">
        <v>192</v>
      </c>
      <c r="J6" s="10">
        <v>49755</v>
      </c>
      <c r="K6" s="10">
        <v>112160</v>
      </c>
      <c r="L6" s="10">
        <v>48904</v>
      </c>
      <c r="M6" s="10">
        <v>109382</v>
      </c>
      <c r="N6" s="10">
        <v>80360</v>
      </c>
      <c r="O6" s="10">
        <v>114417</v>
      </c>
      <c r="P6" s="10">
        <v>60225</v>
      </c>
      <c r="Q6" s="10">
        <v>80910</v>
      </c>
      <c r="R6" s="10">
        <v>54235</v>
      </c>
      <c r="S6" s="10">
        <v>109663</v>
      </c>
      <c r="T6" s="10">
        <v>57343</v>
      </c>
      <c r="U6" s="10">
        <v>91742</v>
      </c>
    </row>
    <row r="7" spans="1:21">
      <c r="A7" s="5" t="s">
        <v>357</v>
      </c>
      <c r="B7" s="5" t="s">
        <v>357</v>
      </c>
      <c r="C7" s="5" t="s">
        <v>1382</v>
      </c>
      <c r="D7" s="6">
        <v>600000</v>
      </c>
      <c r="E7" s="5">
        <v>5.5</v>
      </c>
      <c r="F7" s="5" t="s">
        <v>1177</v>
      </c>
      <c r="G7" s="5"/>
      <c r="H7" s="5"/>
      <c r="I7" s="10" t="s">
        <v>357</v>
      </c>
      <c r="J7" s="10">
        <v>104226</v>
      </c>
      <c r="K7" s="10">
        <v>101733</v>
      </c>
      <c r="L7" s="10">
        <v>66765</v>
      </c>
      <c r="M7" s="10">
        <v>116820</v>
      </c>
      <c r="N7" s="10">
        <v>111822</v>
      </c>
      <c r="O7" s="10">
        <v>83118</v>
      </c>
      <c r="P7" s="10">
        <v>104753</v>
      </c>
      <c r="Q7" s="10">
        <v>44694</v>
      </c>
      <c r="R7" s="10">
        <v>64548</v>
      </c>
      <c r="S7" s="10">
        <v>76103</v>
      </c>
      <c r="T7" s="10">
        <v>109413</v>
      </c>
      <c r="U7" s="10">
        <v>84471</v>
      </c>
    </row>
    <row r="8" spans="1:21">
      <c r="A8" s="5" t="s">
        <v>510</v>
      </c>
      <c r="B8" s="5" t="s">
        <v>510</v>
      </c>
      <c r="C8" s="5" t="s">
        <v>1383</v>
      </c>
      <c r="D8" s="6">
        <v>400000</v>
      </c>
      <c r="E8" s="5">
        <v>3.2</v>
      </c>
      <c r="F8" s="5" t="s">
        <v>1177</v>
      </c>
      <c r="G8" s="5"/>
      <c r="H8" s="5"/>
      <c r="I8" s="10" t="s">
        <v>510</v>
      </c>
      <c r="J8" s="10">
        <v>44679</v>
      </c>
      <c r="K8" s="10">
        <v>80613</v>
      </c>
      <c r="L8" s="10">
        <v>105951</v>
      </c>
      <c r="M8" s="10">
        <v>49655</v>
      </c>
      <c r="N8" s="10">
        <v>53469</v>
      </c>
      <c r="O8" s="10">
        <v>98732</v>
      </c>
      <c r="P8" s="10">
        <v>98756</v>
      </c>
      <c r="Q8" s="10">
        <v>71627</v>
      </c>
      <c r="R8" s="10">
        <v>88343</v>
      </c>
      <c r="S8" s="10">
        <v>84666</v>
      </c>
      <c r="T8" s="10">
        <v>83147</v>
      </c>
      <c r="U8" s="10">
        <v>67294</v>
      </c>
    </row>
    <row r="9" spans="1:21">
      <c r="A9" s="5" t="s">
        <v>412</v>
      </c>
      <c r="B9" s="5" t="s">
        <v>71</v>
      </c>
      <c r="C9" s="5" t="s">
        <v>1384</v>
      </c>
      <c r="D9" s="6">
        <v>250000</v>
      </c>
      <c r="E9" s="5">
        <v>1.9</v>
      </c>
      <c r="F9" s="5" t="s">
        <v>1177</v>
      </c>
      <c r="G9" s="5"/>
      <c r="H9" s="5"/>
      <c r="I9" s="10" t="s">
        <v>71</v>
      </c>
      <c r="J9" s="10">
        <v>99629</v>
      </c>
      <c r="K9" s="10">
        <v>49813</v>
      </c>
      <c r="L9" s="10">
        <v>91735</v>
      </c>
      <c r="M9" s="10">
        <v>62153</v>
      </c>
      <c r="N9" s="10">
        <v>92752</v>
      </c>
      <c r="O9" s="10">
        <v>75343</v>
      </c>
      <c r="P9" s="10">
        <v>115522</v>
      </c>
      <c r="Q9" s="10">
        <v>112172</v>
      </c>
      <c r="R9" s="10">
        <v>116512</v>
      </c>
      <c r="S9" s="10">
        <v>108512</v>
      </c>
      <c r="T9" s="10">
        <v>42454</v>
      </c>
      <c r="U9" s="10">
        <v>80174</v>
      </c>
    </row>
    <row r="10" spans="1:21">
      <c r="A10" s="5"/>
      <c r="B10" s="5"/>
      <c r="C10" s="5"/>
      <c r="D10" s="5"/>
      <c r="E10" s="5"/>
      <c r="F10" s="5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1">
      <c r="A11" s="70"/>
      <c r="B11" s="70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21">
      <c r="A12" s="5"/>
      <c r="B12" s="5"/>
      <c r="C12" s="5"/>
      <c r="D12" s="5"/>
      <c r="E12" s="5"/>
      <c r="F12" s="5"/>
      <c r="G12" s="8"/>
      <c r="H12" s="5"/>
      <c r="I12" s="5"/>
      <c r="J12" s="5"/>
      <c r="K12" s="5"/>
      <c r="L12" s="5"/>
      <c r="M12" s="5"/>
    </row>
    <row r="13" spans="1:2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2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2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2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</sheetData>
  <mergeCells count="1">
    <mergeCell ref="A11:B11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8590-BC04-406A-9194-456C8413F0E8}">
  <dimension ref="A1:G41"/>
  <sheetViews>
    <sheetView workbookViewId="0">
      <selection activeCell="I10" sqref="I10"/>
    </sheetView>
  </sheetViews>
  <sheetFormatPr defaultRowHeight="15"/>
  <cols>
    <col min="1" max="1" width="11.140625" bestFit="1" customWidth="1"/>
    <col min="2" max="2" width="22.140625" bestFit="1" customWidth="1"/>
    <col min="3" max="4" width="11" bestFit="1" customWidth="1"/>
    <col min="5" max="5" width="15.28515625" bestFit="1" customWidth="1"/>
    <col min="6" max="6" width="14.7109375" bestFit="1" customWidth="1"/>
    <col min="7" max="7" width="11.140625" bestFit="1" customWidth="1"/>
  </cols>
  <sheetData>
    <row r="1" spans="1:7">
      <c r="A1" s="5" t="s">
        <v>1</v>
      </c>
      <c r="B1" s="5" t="s">
        <v>2</v>
      </c>
      <c r="C1" s="5" t="s">
        <v>550</v>
      </c>
      <c r="D1" s="5" t="s">
        <v>1385</v>
      </c>
      <c r="E1" s="5" t="s">
        <v>1386</v>
      </c>
      <c r="F1" s="5" t="s">
        <v>1387</v>
      </c>
      <c r="G1" s="5" t="s">
        <v>1388</v>
      </c>
    </row>
    <row r="2" spans="1:7">
      <c r="A2" s="5" t="s">
        <v>271</v>
      </c>
      <c r="B2" s="5" t="s">
        <v>573</v>
      </c>
      <c r="C2" s="5" t="s">
        <v>1163</v>
      </c>
      <c r="D2" s="5">
        <v>112.58</v>
      </c>
      <c r="E2" s="5" t="s">
        <v>1389</v>
      </c>
      <c r="F2" s="5">
        <v>39</v>
      </c>
      <c r="G2" s="5">
        <v>15</v>
      </c>
    </row>
    <row r="3" spans="1:7">
      <c r="A3" s="5" t="s">
        <v>119</v>
      </c>
      <c r="B3" s="5" t="s">
        <v>568</v>
      </c>
      <c r="C3" s="5" t="s">
        <v>1163</v>
      </c>
      <c r="D3" s="5">
        <v>398.82</v>
      </c>
      <c r="E3" s="5" t="s">
        <v>1389</v>
      </c>
      <c r="F3" s="5">
        <v>10</v>
      </c>
      <c r="G3" s="5">
        <v>3</v>
      </c>
    </row>
    <row r="4" spans="1:7">
      <c r="A4" s="5" t="s">
        <v>62</v>
      </c>
      <c r="B4" s="5" t="s">
        <v>1390</v>
      </c>
      <c r="C4" s="5" t="s">
        <v>1163</v>
      </c>
      <c r="D4" s="5">
        <v>272.08999999999997</v>
      </c>
      <c r="E4" s="5" t="s">
        <v>1391</v>
      </c>
      <c r="F4" s="5">
        <v>12</v>
      </c>
      <c r="G4" s="5">
        <v>2</v>
      </c>
    </row>
    <row r="5" spans="1:7">
      <c r="A5" s="5" t="s">
        <v>234</v>
      </c>
      <c r="B5" s="5" t="s">
        <v>235</v>
      </c>
      <c r="C5" s="5" t="s">
        <v>1163</v>
      </c>
      <c r="D5" s="5">
        <v>174.44</v>
      </c>
      <c r="E5" s="5" t="s">
        <v>1392</v>
      </c>
      <c r="F5" s="5">
        <v>6</v>
      </c>
      <c r="G5" s="5">
        <v>9</v>
      </c>
    </row>
    <row r="6" spans="1:7">
      <c r="A6" s="5" t="s">
        <v>106</v>
      </c>
      <c r="B6" s="5" t="s">
        <v>1393</v>
      </c>
      <c r="C6" s="5" t="s">
        <v>1163</v>
      </c>
      <c r="D6" s="5">
        <v>500.77</v>
      </c>
      <c r="E6" s="5" t="s">
        <v>1394</v>
      </c>
      <c r="F6" s="5">
        <v>43</v>
      </c>
      <c r="G6" s="5">
        <v>13</v>
      </c>
    </row>
    <row r="7" spans="1:7">
      <c r="A7" s="5" t="s">
        <v>89</v>
      </c>
      <c r="B7" s="5" t="s">
        <v>1395</v>
      </c>
      <c r="C7" s="5" t="s">
        <v>1163</v>
      </c>
      <c r="D7" s="5">
        <v>311.94</v>
      </c>
      <c r="E7" s="5" t="s">
        <v>1389</v>
      </c>
      <c r="F7" s="5">
        <v>41</v>
      </c>
      <c r="G7" s="5">
        <v>15</v>
      </c>
    </row>
    <row r="8" spans="1:7">
      <c r="A8" s="5" t="s">
        <v>197</v>
      </c>
      <c r="B8" s="5" t="s">
        <v>656</v>
      </c>
      <c r="C8" s="5" t="s">
        <v>1171</v>
      </c>
      <c r="D8" s="5">
        <v>373.96</v>
      </c>
      <c r="E8" s="5" t="s">
        <v>1392</v>
      </c>
      <c r="F8" s="5">
        <v>19</v>
      </c>
      <c r="G8" s="5">
        <v>17</v>
      </c>
    </row>
    <row r="9" spans="1:7">
      <c r="A9" s="5" t="s">
        <v>95</v>
      </c>
      <c r="B9" s="5" t="s">
        <v>581</v>
      </c>
      <c r="C9" s="5" t="s">
        <v>1171</v>
      </c>
      <c r="D9" s="5">
        <v>146.96</v>
      </c>
      <c r="E9" s="5" t="s">
        <v>1396</v>
      </c>
      <c r="F9" s="5">
        <v>32</v>
      </c>
      <c r="G9" s="5">
        <v>6</v>
      </c>
    </row>
    <row r="10" spans="1:7">
      <c r="A10" s="5" t="s">
        <v>167</v>
      </c>
      <c r="B10" s="5" t="s">
        <v>168</v>
      </c>
      <c r="C10" s="5" t="s">
        <v>1171</v>
      </c>
      <c r="D10" s="5">
        <v>127.85</v>
      </c>
      <c r="E10" s="5" t="s">
        <v>1396</v>
      </c>
      <c r="F10" s="5">
        <v>14</v>
      </c>
      <c r="G10" s="5">
        <v>8</v>
      </c>
    </row>
    <row r="11" spans="1:7">
      <c r="A11" s="5" t="s">
        <v>321</v>
      </c>
      <c r="B11" s="5" t="s">
        <v>588</v>
      </c>
      <c r="C11" s="5" t="s">
        <v>1171</v>
      </c>
      <c r="D11" s="5">
        <v>392.01</v>
      </c>
      <c r="E11" s="5" t="s">
        <v>1392</v>
      </c>
      <c r="F11" s="5">
        <v>40</v>
      </c>
      <c r="G11" s="5">
        <v>17</v>
      </c>
    </row>
    <row r="12" spans="1:7">
      <c r="A12" s="5" t="s">
        <v>56</v>
      </c>
      <c r="B12" s="5" t="s">
        <v>575</v>
      </c>
      <c r="C12" s="5" t="s">
        <v>1174</v>
      </c>
      <c r="D12" s="5">
        <v>74.77</v>
      </c>
      <c r="E12" s="5" t="s">
        <v>1391</v>
      </c>
      <c r="F12" s="5">
        <v>11</v>
      </c>
      <c r="G12" s="5">
        <v>13</v>
      </c>
    </row>
    <row r="13" spans="1:7">
      <c r="A13" s="5" t="s">
        <v>185</v>
      </c>
      <c r="B13" s="5" t="s">
        <v>186</v>
      </c>
      <c r="C13" s="5" t="s">
        <v>1174</v>
      </c>
      <c r="D13" s="5">
        <v>409.37</v>
      </c>
      <c r="E13" s="5" t="s">
        <v>1394</v>
      </c>
      <c r="F13" s="5">
        <v>33</v>
      </c>
      <c r="G13" s="5">
        <v>20</v>
      </c>
    </row>
    <row r="14" spans="1:7">
      <c r="A14" s="5" t="s">
        <v>292</v>
      </c>
      <c r="B14" s="5" t="s">
        <v>1397</v>
      </c>
      <c r="C14" s="5" t="s">
        <v>1174</v>
      </c>
      <c r="D14" s="5">
        <v>233.27</v>
      </c>
      <c r="E14" s="5" t="s">
        <v>1396</v>
      </c>
      <c r="F14" s="5">
        <v>23</v>
      </c>
      <c r="G14" s="5">
        <v>14</v>
      </c>
    </row>
    <row r="15" spans="1:7">
      <c r="A15" s="5" t="s">
        <v>369</v>
      </c>
      <c r="B15" s="5" t="s">
        <v>370</v>
      </c>
      <c r="C15" s="5" t="s">
        <v>1174</v>
      </c>
      <c r="D15" s="5">
        <v>430.95</v>
      </c>
      <c r="E15" s="5" t="s">
        <v>1391</v>
      </c>
      <c r="F15" s="5">
        <v>49</v>
      </c>
      <c r="G15" s="5">
        <v>9</v>
      </c>
    </row>
    <row r="16" spans="1:7">
      <c r="A16" s="5" t="s">
        <v>309</v>
      </c>
      <c r="B16" s="5" t="s">
        <v>310</v>
      </c>
      <c r="C16" s="5" t="s">
        <v>1174</v>
      </c>
      <c r="D16" s="5">
        <v>502.69</v>
      </c>
      <c r="E16" s="5" t="s">
        <v>1391</v>
      </c>
      <c r="F16" s="5">
        <v>47</v>
      </c>
      <c r="G16" s="5">
        <v>9</v>
      </c>
    </row>
    <row r="17" spans="1:7">
      <c r="A17" s="5" t="s">
        <v>35</v>
      </c>
      <c r="B17" s="5" t="s">
        <v>591</v>
      </c>
      <c r="C17" s="5" t="s">
        <v>1174</v>
      </c>
      <c r="D17" s="5">
        <v>344.45</v>
      </c>
      <c r="E17" s="5" t="s">
        <v>1392</v>
      </c>
      <c r="F17" s="5">
        <v>46</v>
      </c>
      <c r="G17" s="5">
        <v>2</v>
      </c>
    </row>
    <row r="18" spans="1:7">
      <c r="A18" s="5" t="s">
        <v>50</v>
      </c>
      <c r="B18" s="5" t="s">
        <v>556</v>
      </c>
      <c r="C18" s="5" t="s">
        <v>1180</v>
      </c>
      <c r="D18" s="5">
        <v>19.39</v>
      </c>
      <c r="E18" s="5" t="s">
        <v>1398</v>
      </c>
      <c r="F18" s="5">
        <v>42</v>
      </c>
      <c r="G18" s="5">
        <v>11</v>
      </c>
    </row>
    <row r="19" spans="1:7">
      <c r="A19" s="5" t="s">
        <v>240</v>
      </c>
      <c r="B19" s="5" t="s">
        <v>603</v>
      </c>
      <c r="C19" s="5" t="s">
        <v>1180</v>
      </c>
      <c r="D19" s="5">
        <v>14.22</v>
      </c>
      <c r="E19" s="5" t="s">
        <v>1391</v>
      </c>
      <c r="F19" s="5">
        <v>50</v>
      </c>
      <c r="G19" s="5">
        <v>9</v>
      </c>
    </row>
    <row r="20" spans="1:7">
      <c r="A20" s="5" t="s">
        <v>113</v>
      </c>
      <c r="B20" s="5" t="s">
        <v>114</v>
      </c>
      <c r="C20" s="5" t="s">
        <v>1180</v>
      </c>
      <c r="D20" s="5">
        <v>192.97</v>
      </c>
      <c r="E20" s="5" t="s">
        <v>1389</v>
      </c>
      <c r="F20" s="5">
        <v>28</v>
      </c>
      <c r="G20" s="5">
        <v>11</v>
      </c>
    </row>
    <row r="21" spans="1:7">
      <c r="A21" s="5" t="s">
        <v>354</v>
      </c>
      <c r="B21" s="5" t="s">
        <v>355</v>
      </c>
      <c r="C21" s="5" t="s">
        <v>1180</v>
      </c>
      <c r="D21" s="5">
        <v>444.26</v>
      </c>
      <c r="E21" s="5" t="s">
        <v>1392</v>
      </c>
      <c r="F21" s="5">
        <v>7</v>
      </c>
      <c r="G21" s="5">
        <v>15</v>
      </c>
    </row>
    <row r="22" spans="1:7">
      <c r="A22" s="5" t="s">
        <v>101</v>
      </c>
      <c r="B22" s="5" t="s">
        <v>1399</v>
      </c>
      <c r="C22" s="5" t="s">
        <v>1194</v>
      </c>
      <c r="D22" s="5">
        <v>34.06</v>
      </c>
      <c r="E22" s="5" t="s">
        <v>1398</v>
      </c>
      <c r="F22" s="5">
        <v>9</v>
      </c>
      <c r="G22" s="5">
        <v>15</v>
      </c>
    </row>
    <row r="23" spans="1:7">
      <c r="A23" s="5" t="s">
        <v>393</v>
      </c>
      <c r="B23" s="5" t="s">
        <v>1400</v>
      </c>
      <c r="C23" s="5" t="s">
        <v>1194</v>
      </c>
      <c r="D23" s="5">
        <v>160.24</v>
      </c>
      <c r="E23" s="5" t="s">
        <v>1396</v>
      </c>
      <c r="F23" s="5">
        <v>39</v>
      </c>
      <c r="G23" s="5">
        <v>15</v>
      </c>
    </row>
    <row r="24" spans="1:7">
      <c r="A24" s="5" t="s">
        <v>251</v>
      </c>
      <c r="B24" s="5" t="s">
        <v>560</v>
      </c>
      <c r="C24" s="5" t="s">
        <v>1194</v>
      </c>
      <c r="D24" s="5">
        <v>44.14</v>
      </c>
      <c r="E24" s="5" t="s">
        <v>1392</v>
      </c>
      <c r="F24" s="5">
        <v>7</v>
      </c>
      <c r="G24" s="5">
        <v>8</v>
      </c>
    </row>
    <row r="25" spans="1:7">
      <c r="A25" s="5" t="s">
        <v>20</v>
      </c>
      <c r="B25" s="5" t="s">
        <v>599</v>
      </c>
      <c r="C25" s="5" t="s">
        <v>1194</v>
      </c>
      <c r="D25" s="5">
        <v>115.19</v>
      </c>
      <c r="E25" s="5" t="s">
        <v>1394</v>
      </c>
      <c r="F25" s="5">
        <v>46</v>
      </c>
      <c r="G25" s="5">
        <v>16</v>
      </c>
    </row>
    <row r="26" spans="1:7">
      <c r="A26" s="5" t="s">
        <v>143</v>
      </c>
      <c r="B26" s="5" t="s">
        <v>577</v>
      </c>
      <c r="C26" s="5" t="s">
        <v>1188</v>
      </c>
      <c r="D26" s="5">
        <v>5.78</v>
      </c>
      <c r="E26" s="5" t="s">
        <v>1394</v>
      </c>
      <c r="F26" s="5">
        <v>48</v>
      </c>
      <c r="G26" s="5">
        <v>15</v>
      </c>
    </row>
    <row r="27" spans="1:7">
      <c r="A27" s="5" t="s">
        <v>431</v>
      </c>
      <c r="B27" s="5" t="s">
        <v>607</v>
      </c>
      <c r="C27" s="5" t="s">
        <v>1188</v>
      </c>
      <c r="D27" s="5">
        <v>188.41</v>
      </c>
      <c r="E27" s="5" t="s">
        <v>1398</v>
      </c>
      <c r="F27" s="5">
        <v>33</v>
      </c>
      <c r="G27" s="5">
        <v>5</v>
      </c>
    </row>
    <row r="28" spans="1:7">
      <c r="A28" s="5" t="s">
        <v>12</v>
      </c>
      <c r="B28" s="5" t="s">
        <v>609</v>
      </c>
      <c r="C28" s="5" t="s">
        <v>1188</v>
      </c>
      <c r="D28" s="5">
        <v>260.29000000000002</v>
      </c>
      <c r="E28" s="5" t="s">
        <v>1396</v>
      </c>
      <c r="F28" s="5">
        <v>5</v>
      </c>
      <c r="G28" s="5">
        <v>3</v>
      </c>
    </row>
    <row r="29" spans="1:7">
      <c r="A29" s="5" t="s">
        <v>215</v>
      </c>
      <c r="B29" s="5" t="s">
        <v>216</v>
      </c>
      <c r="C29" s="5" t="s">
        <v>1188</v>
      </c>
      <c r="D29" s="5">
        <v>98.27</v>
      </c>
      <c r="E29" s="5" t="s">
        <v>1394</v>
      </c>
      <c r="F29" s="5">
        <v>18</v>
      </c>
      <c r="G29" s="5">
        <v>4</v>
      </c>
    </row>
    <row r="30" spans="1:7">
      <c r="A30" s="5" t="s">
        <v>68</v>
      </c>
      <c r="B30" s="5" t="s">
        <v>606</v>
      </c>
      <c r="C30" s="5" t="s">
        <v>1188</v>
      </c>
      <c r="D30" s="5">
        <v>294.41000000000003</v>
      </c>
      <c r="E30" s="5" t="s">
        <v>1392</v>
      </c>
      <c r="F30" s="5">
        <v>44</v>
      </c>
      <c r="G30" s="5">
        <v>13</v>
      </c>
    </row>
    <row r="31" spans="1:7">
      <c r="A31" s="5" t="s">
        <v>315</v>
      </c>
      <c r="B31" s="5" t="s">
        <v>316</v>
      </c>
      <c r="C31" s="5" t="s">
        <v>1188</v>
      </c>
      <c r="D31" s="5">
        <v>22.54</v>
      </c>
      <c r="E31" s="5" t="s">
        <v>1391</v>
      </c>
      <c r="F31" s="5">
        <v>37</v>
      </c>
      <c r="G31" s="5">
        <v>5</v>
      </c>
    </row>
    <row r="32" spans="1:7">
      <c r="A32" s="5" t="s">
        <v>265</v>
      </c>
      <c r="B32" s="5" t="s">
        <v>266</v>
      </c>
      <c r="C32" s="5" t="s">
        <v>1195</v>
      </c>
      <c r="D32" s="5">
        <v>93.28</v>
      </c>
      <c r="E32" s="5" t="s">
        <v>1391</v>
      </c>
      <c r="F32" s="5">
        <v>39</v>
      </c>
      <c r="G32" s="5">
        <v>11</v>
      </c>
    </row>
    <row r="33" spans="1:7">
      <c r="A33" s="5" t="s">
        <v>156</v>
      </c>
      <c r="B33" s="5" t="s">
        <v>157</v>
      </c>
      <c r="C33" s="5" t="s">
        <v>1195</v>
      </c>
      <c r="D33" s="5">
        <v>134.19</v>
      </c>
      <c r="E33" s="5" t="s">
        <v>1396</v>
      </c>
      <c r="F33" s="5">
        <v>48</v>
      </c>
      <c r="G33" s="5">
        <v>4</v>
      </c>
    </row>
    <row r="34" spans="1:7">
      <c r="A34" s="5" t="s">
        <v>201</v>
      </c>
      <c r="B34" s="5" t="s">
        <v>593</v>
      </c>
      <c r="C34" s="5" t="s">
        <v>1195</v>
      </c>
      <c r="D34" s="5">
        <v>202.26</v>
      </c>
      <c r="E34" s="5" t="s">
        <v>1396</v>
      </c>
      <c r="F34" s="5">
        <v>28</v>
      </c>
      <c r="G34" s="5">
        <v>7</v>
      </c>
    </row>
    <row r="35" spans="1:7">
      <c r="A35" s="5" t="s">
        <v>350</v>
      </c>
      <c r="B35" s="5" t="s">
        <v>566</v>
      </c>
      <c r="C35" s="5" t="s">
        <v>1195</v>
      </c>
      <c r="D35" s="5">
        <v>429.85</v>
      </c>
      <c r="E35" s="5" t="s">
        <v>1398</v>
      </c>
      <c r="F35" s="5">
        <v>38</v>
      </c>
      <c r="G35" s="5">
        <v>17</v>
      </c>
    </row>
    <row r="36" spans="1:7">
      <c r="A36" s="5" t="s">
        <v>210</v>
      </c>
      <c r="B36" s="5" t="s">
        <v>563</v>
      </c>
      <c r="C36" s="5" t="s">
        <v>1195</v>
      </c>
      <c r="D36" s="5">
        <v>139.63999999999999</v>
      </c>
      <c r="E36" s="5" t="s">
        <v>1391</v>
      </c>
      <c r="F36" s="5">
        <v>10</v>
      </c>
      <c r="G36" s="5">
        <v>15</v>
      </c>
    </row>
    <row r="37" spans="1:7">
      <c r="A37" s="5" t="s">
        <v>177</v>
      </c>
      <c r="B37" s="5" t="s">
        <v>178</v>
      </c>
      <c r="C37" s="5" t="s">
        <v>1195</v>
      </c>
      <c r="D37" s="5">
        <v>325.67</v>
      </c>
      <c r="E37" s="5" t="s">
        <v>1391</v>
      </c>
      <c r="F37" s="5">
        <v>21</v>
      </c>
      <c r="G37" s="5">
        <v>6</v>
      </c>
    </row>
    <row r="38" spans="1:7">
      <c r="A38" s="5" t="s">
        <v>451</v>
      </c>
      <c r="B38" s="5" t="s">
        <v>739</v>
      </c>
      <c r="C38" s="5" t="s">
        <v>1192</v>
      </c>
      <c r="D38" s="5">
        <v>507.29</v>
      </c>
      <c r="E38" s="5" t="s">
        <v>1392</v>
      </c>
      <c r="F38" s="5">
        <v>23</v>
      </c>
      <c r="G38" s="5">
        <v>15</v>
      </c>
    </row>
    <row r="39" spans="1:7">
      <c r="A39" s="5" t="s">
        <v>79</v>
      </c>
      <c r="B39" s="5" t="s">
        <v>1401</v>
      </c>
      <c r="C39" s="5" t="s">
        <v>1192</v>
      </c>
      <c r="D39" s="5">
        <v>59.61</v>
      </c>
      <c r="E39" s="5" t="s">
        <v>1394</v>
      </c>
      <c r="F39" s="5">
        <v>36</v>
      </c>
      <c r="G39" s="5">
        <v>14</v>
      </c>
    </row>
    <row r="40" spans="1:7">
      <c r="A40" s="5" t="s">
        <v>421</v>
      </c>
      <c r="B40" s="5" t="s">
        <v>422</v>
      </c>
      <c r="C40" s="5" t="s">
        <v>1192</v>
      </c>
      <c r="D40" s="5">
        <v>357.42</v>
      </c>
      <c r="E40" s="5" t="s">
        <v>1391</v>
      </c>
      <c r="F40" s="5">
        <v>41</v>
      </c>
      <c r="G40" s="5">
        <v>9</v>
      </c>
    </row>
    <row r="41" spans="1:7">
      <c r="A41" s="5" t="s">
        <v>43</v>
      </c>
      <c r="B41" s="5" t="s">
        <v>597</v>
      </c>
      <c r="C41" s="5" t="s">
        <v>1192</v>
      </c>
      <c r="D41" s="5">
        <v>223.82</v>
      </c>
      <c r="E41" s="5" t="s">
        <v>1396</v>
      </c>
      <c r="F41" s="5">
        <v>50</v>
      </c>
      <c r="G41" s="5">
        <v>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F8BC-7C10-4DF3-9730-6F888AABD055}">
  <dimension ref="A1:E84"/>
  <sheetViews>
    <sheetView workbookViewId="0">
      <selection activeCell="M15" sqref="M15"/>
    </sheetView>
  </sheetViews>
  <sheetFormatPr defaultRowHeight="15"/>
  <cols>
    <col min="1" max="1" width="12.7109375" bestFit="1" customWidth="1"/>
    <col min="2" max="2" width="16.42578125" bestFit="1" customWidth="1"/>
    <col min="3" max="3" width="11.140625" bestFit="1" customWidth="1"/>
    <col min="4" max="4" width="10.7109375" bestFit="1" customWidth="1"/>
    <col min="5" max="5" width="15" bestFit="1" customWidth="1"/>
  </cols>
  <sheetData>
    <row r="1" spans="1:5">
      <c r="A1" s="5" t="s">
        <v>753</v>
      </c>
      <c r="B1" s="5" t="s">
        <v>755</v>
      </c>
      <c r="C1" s="5" t="s">
        <v>1402</v>
      </c>
      <c r="D1" s="5" t="s">
        <v>1403</v>
      </c>
      <c r="E1" s="5" t="s">
        <v>1404</v>
      </c>
    </row>
    <row r="2" spans="1:5">
      <c r="A2" s="5" t="s">
        <v>761</v>
      </c>
      <c r="B2" s="5" t="s">
        <v>763</v>
      </c>
      <c r="C2" s="5" t="s">
        <v>1405</v>
      </c>
      <c r="D2" s="5" t="s">
        <v>1377</v>
      </c>
      <c r="E2" s="5" t="s">
        <v>1406</v>
      </c>
    </row>
    <row r="3" spans="1:5">
      <c r="A3" s="5" t="s">
        <v>767</v>
      </c>
      <c r="B3" s="5" t="s">
        <v>884</v>
      </c>
      <c r="C3" s="5" t="s">
        <v>1407</v>
      </c>
      <c r="D3" s="5" t="s">
        <v>1384</v>
      </c>
      <c r="E3" s="5" t="s">
        <v>1408</v>
      </c>
    </row>
    <row r="4" spans="1:5">
      <c r="A4" s="5" t="s">
        <v>774</v>
      </c>
      <c r="B4" s="5" t="s">
        <v>1116</v>
      </c>
      <c r="C4" s="5" t="s">
        <v>1407</v>
      </c>
      <c r="D4" s="5" t="s">
        <v>1378</v>
      </c>
      <c r="E4" s="5" t="s">
        <v>1406</v>
      </c>
    </row>
    <row r="5" spans="1:5">
      <c r="A5" s="5" t="s">
        <v>780</v>
      </c>
      <c r="B5" s="5" t="s">
        <v>889</v>
      </c>
      <c r="C5" s="5" t="s">
        <v>1407</v>
      </c>
      <c r="D5" s="5" t="s">
        <v>1384</v>
      </c>
      <c r="E5" s="5" t="s">
        <v>1409</v>
      </c>
    </row>
    <row r="6" spans="1:5">
      <c r="A6" s="5" t="s">
        <v>785</v>
      </c>
      <c r="B6" s="5" t="s">
        <v>1113</v>
      </c>
      <c r="C6" s="5" t="s">
        <v>1403</v>
      </c>
      <c r="D6" s="5" t="s">
        <v>1380</v>
      </c>
      <c r="E6" s="5" t="s">
        <v>1408</v>
      </c>
    </row>
    <row r="7" spans="1:5">
      <c r="A7" s="5" t="s">
        <v>790</v>
      </c>
      <c r="B7" s="5" t="s">
        <v>833</v>
      </c>
      <c r="C7" s="5" t="s">
        <v>1410</v>
      </c>
      <c r="D7" s="5" t="s">
        <v>1380</v>
      </c>
      <c r="E7" s="5" t="s">
        <v>1411</v>
      </c>
    </row>
    <row r="8" spans="1:5">
      <c r="A8" s="5" t="s">
        <v>794</v>
      </c>
      <c r="B8" s="5" t="s">
        <v>792</v>
      </c>
      <c r="C8" s="5" t="s">
        <v>1410</v>
      </c>
      <c r="D8" s="5" t="s">
        <v>1379</v>
      </c>
      <c r="E8" s="5" t="s">
        <v>1412</v>
      </c>
    </row>
    <row r="9" spans="1:5">
      <c r="A9" s="5" t="s">
        <v>799</v>
      </c>
      <c r="B9" s="5" t="s">
        <v>871</v>
      </c>
      <c r="C9" s="5" t="s">
        <v>1407</v>
      </c>
      <c r="D9" s="5" t="s">
        <v>1383</v>
      </c>
      <c r="E9" s="5" t="s">
        <v>1412</v>
      </c>
    </row>
    <row r="10" spans="1:5">
      <c r="A10" s="5" t="s">
        <v>804</v>
      </c>
      <c r="B10" s="5" t="s">
        <v>1113</v>
      </c>
      <c r="C10" s="5" t="s">
        <v>1413</v>
      </c>
      <c r="D10" s="5" t="s">
        <v>1383</v>
      </c>
      <c r="E10" s="5" t="s">
        <v>1409</v>
      </c>
    </row>
    <row r="11" spans="1:5">
      <c r="A11" s="5" t="s">
        <v>808</v>
      </c>
      <c r="B11" s="5" t="s">
        <v>792</v>
      </c>
      <c r="C11" s="5" t="s">
        <v>1407</v>
      </c>
      <c r="D11" s="5" t="s">
        <v>1383</v>
      </c>
      <c r="E11" s="5" t="s">
        <v>1409</v>
      </c>
    </row>
    <row r="12" spans="1:5">
      <c r="A12" s="5" t="s">
        <v>813</v>
      </c>
      <c r="B12" s="5" t="s">
        <v>792</v>
      </c>
      <c r="C12" s="5" t="s">
        <v>1407</v>
      </c>
      <c r="D12" s="5" t="s">
        <v>1383</v>
      </c>
      <c r="E12" s="5" t="s">
        <v>1412</v>
      </c>
    </row>
    <row r="13" spans="1:5">
      <c r="A13" s="5" t="s">
        <v>818</v>
      </c>
      <c r="B13" s="5" t="s">
        <v>889</v>
      </c>
      <c r="C13" s="5" t="s">
        <v>1413</v>
      </c>
      <c r="D13" s="5" t="s">
        <v>1383</v>
      </c>
      <c r="E13" s="5" t="s">
        <v>1408</v>
      </c>
    </row>
    <row r="14" spans="1:5">
      <c r="A14" s="5" t="s">
        <v>822</v>
      </c>
      <c r="B14" s="5" t="s">
        <v>884</v>
      </c>
      <c r="C14" s="5" t="s">
        <v>1403</v>
      </c>
      <c r="D14" s="5" t="s">
        <v>1384</v>
      </c>
      <c r="E14" s="5" t="s">
        <v>1414</v>
      </c>
    </row>
    <row r="15" spans="1:5">
      <c r="A15" s="5" t="s">
        <v>826</v>
      </c>
      <c r="B15" s="5" t="s">
        <v>1116</v>
      </c>
      <c r="C15" s="5" t="s">
        <v>1407</v>
      </c>
      <c r="D15" s="5" t="s">
        <v>1382</v>
      </c>
      <c r="E15" s="5" t="s">
        <v>1412</v>
      </c>
    </row>
    <row r="16" spans="1:5">
      <c r="A16" s="5" t="s">
        <v>831</v>
      </c>
      <c r="B16" s="5" t="s">
        <v>871</v>
      </c>
      <c r="C16" s="5" t="s">
        <v>1405</v>
      </c>
      <c r="D16" s="5" t="s">
        <v>1383</v>
      </c>
      <c r="E16" s="5" t="s">
        <v>1412</v>
      </c>
    </row>
    <row r="17" spans="1:5">
      <c r="A17" s="5" t="s">
        <v>836</v>
      </c>
      <c r="B17" s="5" t="s">
        <v>792</v>
      </c>
      <c r="C17" s="5" t="s">
        <v>1410</v>
      </c>
      <c r="D17" s="5" t="s">
        <v>1378</v>
      </c>
      <c r="E17" s="5" t="s">
        <v>1409</v>
      </c>
    </row>
    <row r="18" spans="1:5">
      <c r="A18" s="5" t="s">
        <v>841</v>
      </c>
      <c r="B18" s="5" t="s">
        <v>763</v>
      </c>
      <c r="C18" s="5" t="s">
        <v>1415</v>
      </c>
      <c r="D18" s="5" t="s">
        <v>1380</v>
      </c>
      <c r="E18" s="5" t="s">
        <v>1409</v>
      </c>
    </row>
    <row r="19" spans="1:5">
      <c r="A19" s="5" t="s">
        <v>845</v>
      </c>
      <c r="B19" s="5" t="s">
        <v>1113</v>
      </c>
      <c r="C19" s="5" t="s">
        <v>1410</v>
      </c>
      <c r="D19" s="5" t="s">
        <v>1382</v>
      </c>
      <c r="E19" s="5" t="s">
        <v>1409</v>
      </c>
    </row>
    <row r="20" spans="1:5">
      <c r="A20" s="5" t="s">
        <v>849</v>
      </c>
      <c r="B20" s="5" t="s">
        <v>763</v>
      </c>
      <c r="C20" s="5" t="s">
        <v>1407</v>
      </c>
      <c r="D20" s="5" t="s">
        <v>1380</v>
      </c>
      <c r="E20" s="5" t="s">
        <v>1408</v>
      </c>
    </row>
    <row r="21" spans="1:5">
      <c r="A21" s="5" t="s">
        <v>853</v>
      </c>
      <c r="B21" s="5" t="s">
        <v>792</v>
      </c>
      <c r="C21" s="5" t="s">
        <v>1405</v>
      </c>
      <c r="D21" s="5" t="s">
        <v>1378</v>
      </c>
      <c r="E21" s="5" t="s">
        <v>1408</v>
      </c>
    </row>
    <row r="22" spans="1:5">
      <c r="A22" s="5" t="s">
        <v>859</v>
      </c>
      <c r="B22" s="5" t="s">
        <v>889</v>
      </c>
      <c r="C22" s="5" t="s">
        <v>1413</v>
      </c>
      <c r="D22" s="5" t="s">
        <v>1381</v>
      </c>
      <c r="E22" s="5" t="s">
        <v>1406</v>
      </c>
    </row>
    <row r="23" spans="1:5">
      <c r="A23" s="5" t="s">
        <v>864</v>
      </c>
      <c r="B23" s="5" t="s">
        <v>833</v>
      </c>
      <c r="C23" s="5" t="s">
        <v>1410</v>
      </c>
      <c r="D23" s="5" t="s">
        <v>1377</v>
      </c>
      <c r="E23" s="5" t="s">
        <v>1411</v>
      </c>
    </row>
    <row r="24" spans="1:5">
      <c r="A24" s="5" t="s">
        <v>869</v>
      </c>
      <c r="B24" s="5" t="s">
        <v>1113</v>
      </c>
      <c r="C24" s="5" t="s">
        <v>1407</v>
      </c>
      <c r="D24" s="5" t="s">
        <v>1382</v>
      </c>
      <c r="E24" s="5" t="s">
        <v>1408</v>
      </c>
    </row>
    <row r="25" spans="1:5">
      <c r="A25" s="5" t="s">
        <v>874</v>
      </c>
      <c r="B25" s="5" t="s">
        <v>792</v>
      </c>
      <c r="C25" s="5" t="s">
        <v>1407</v>
      </c>
      <c r="D25" s="5" t="s">
        <v>1384</v>
      </c>
      <c r="E25" s="5" t="s">
        <v>1412</v>
      </c>
    </row>
    <row r="26" spans="1:5">
      <c r="A26" s="5" t="s">
        <v>878</v>
      </c>
      <c r="B26" s="5" t="s">
        <v>833</v>
      </c>
      <c r="C26" s="5" t="s">
        <v>1413</v>
      </c>
      <c r="D26" s="5" t="s">
        <v>1378</v>
      </c>
      <c r="E26" s="5" t="s">
        <v>1409</v>
      </c>
    </row>
    <row r="27" spans="1:5">
      <c r="A27" s="5" t="s">
        <v>882</v>
      </c>
      <c r="B27" s="5" t="s">
        <v>889</v>
      </c>
      <c r="C27" s="5" t="s">
        <v>1413</v>
      </c>
      <c r="D27" s="5" t="s">
        <v>1378</v>
      </c>
      <c r="E27" s="5" t="s">
        <v>1409</v>
      </c>
    </row>
    <row r="28" spans="1:5">
      <c r="A28" s="5" t="s">
        <v>887</v>
      </c>
      <c r="B28" s="5" t="s">
        <v>871</v>
      </c>
      <c r="C28" s="5" t="s">
        <v>1403</v>
      </c>
      <c r="D28" s="5" t="s">
        <v>1380</v>
      </c>
      <c r="E28" s="5" t="s">
        <v>1414</v>
      </c>
    </row>
    <row r="29" spans="1:5">
      <c r="A29" s="5" t="s">
        <v>892</v>
      </c>
      <c r="B29" s="5" t="s">
        <v>1116</v>
      </c>
      <c r="C29" s="5" t="s">
        <v>1413</v>
      </c>
      <c r="D29" s="5" t="s">
        <v>1383</v>
      </c>
      <c r="E29" s="5" t="s">
        <v>1408</v>
      </c>
    </row>
    <row r="30" spans="1:5">
      <c r="A30" s="5" t="s">
        <v>896</v>
      </c>
      <c r="B30" s="5" t="s">
        <v>889</v>
      </c>
      <c r="C30" s="5" t="s">
        <v>1415</v>
      </c>
      <c r="D30" s="5" t="s">
        <v>1379</v>
      </c>
      <c r="E30" s="5" t="s">
        <v>1408</v>
      </c>
    </row>
    <row r="31" spans="1:5">
      <c r="A31" s="5" t="s">
        <v>900</v>
      </c>
      <c r="B31" s="5" t="s">
        <v>833</v>
      </c>
      <c r="C31" s="5" t="s">
        <v>1410</v>
      </c>
      <c r="D31" s="5" t="s">
        <v>1379</v>
      </c>
      <c r="E31" s="5" t="s">
        <v>1414</v>
      </c>
    </row>
    <row r="32" spans="1:5">
      <c r="A32" s="5" t="s">
        <v>903</v>
      </c>
      <c r="B32" s="5" t="s">
        <v>792</v>
      </c>
      <c r="C32" s="5" t="s">
        <v>1410</v>
      </c>
      <c r="D32" s="5" t="s">
        <v>1381</v>
      </c>
      <c r="E32" s="5" t="s">
        <v>1408</v>
      </c>
    </row>
    <row r="33" spans="1:5">
      <c r="A33" s="5" t="s">
        <v>906</v>
      </c>
      <c r="B33" s="5" t="s">
        <v>1116</v>
      </c>
      <c r="C33" s="5" t="s">
        <v>1413</v>
      </c>
      <c r="D33" s="5" t="s">
        <v>1382</v>
      </c>
      <c r="E33" s="5" t="s">
        <v>1411</v>
      </c>
    </row>
    <row r="34" spans="1:5">
      <c r="A34" s="5" t="s">
        <v>910</v>
      </c>
      <c r="B34" s="5" t="s">
        <v>871</v>
      </c>
      <c r="C34" s="5" t="s">
        <v>1403</v>
      </c>
      <c r="D34" s="5" t="s">
        <v>1384</v>
      </c>
      <c r="E34" s="5" t="s">
        <v>1408</v>
      </c>
    </row>
    <row r="35" spans="1:5">
      <c r="A35" s="5" t="s">
        <v>914</v>
      </c>
      <c r="B35" s="5" t="s">
        <v>884</v>
      </c>
      <c r="C35" s="5" t="s">
        <v>1410</v>
      </c>
      <c r="D35" s="5" t="s">
        <v>1380</v>
      </c>
      <c r="E35" s="5" t="s">
        <v>1409</v>
      </c>
    </row>
    <row r="36" spans="1:5">
      <c r="A36" s="5" t="s">
        <v>919</v>
      </c>
      <c r="B36" s="5" t="s">
        <v>884</v>
      </c>
      <c r="C36" s="5" t="s">
        <v>1403</v>
      </c>
      <c r="D36" s="5" t="s">
        <v>1381</v>
      </c>
      <c r="E36" s="5" t="s">
        <v>1411</v>
      </c>
    </row>
    <row r="37" spans="1:5">
      <c r="A37" s="5" t="s">
        <v>922</v>
      </c>
      <c r="B37" s="5" t="s">
        <v>763</v>
      </c>
      <c r="C37" s="5" t="s">
        <v>1403</v>
      </c>
      <c r="D37" s="5" t="s">
        <v>1380</v>
      </c>
      <c r="E37" s="5" t="s">
        <v>1406</v>
      </c>
    </row>
    <row r="38" spans="1:5">
      <c r="A38" s="5" t="s">
        <v>926</v>
      </c>
      <c r="B38" s="5" t="s">
        <v>792</v>
      </c>
      <c r="C38" s="5" t="s">
        <v>1405</v>
      </c>
      <c r="D38" s="5" t="s">
        <v>1383</v>
      </c>
      <c r="E38" s="5" t="s">
        <v>1406</v>
      </c>
    </row>
    <row r="39" spans="1:5">
      <c r="A39" s="5" t="s">
        <v>929</v>
      </c>
      <c r="B39" s="5" t="s">
        <v>871</v>
      </c>
      <c r="C39" s="5" t="s">
        <v>1405</v>
      </c>
      <c r="D39" s="5" t="s">
        <v>1384</v>
      </c>
      <c r="E39" s="5" t="s">
        <v>1414</v>
      </c>
    </row>
    <row r="40" spans="1:5">
      <c r="A40" s="5" t="s">
        <v>933</v>
      </c>
      <c r="B40" s="5" t="s">
        <v>763</v>
      </c>
      <c r="C40" s="5" t="s">
        <v>1403</v>
      </c>
      <c r="D40" s="5" t="s">
        <v>1377</v>
      </c>
      <c r="E40" s="5" t="s">
        <v>1414</v>
      </c>
    </row>
    <row r="41" spans="1:5">
      <c r="A41" s="5" t="s">
        <v>937</v>
      </c>
      <c r="B41" s="5" t="s">
        <v>889</v>
      </c>
      <c r="C41" s="5" t="s">
        <v>1413</v>
      </c>
      <c r="D41" s="5" t="s">
        <v>1377</v>
      </c>
      <c r="E41" s="5" t="s">
        <v>1411</v>
      </c>
    </row>
    <row r="42" spans="1:5">
      <c r="A42" s="5" t="s">
        <v>942</v>
      </c>
      <c r="B42" s="5" t="s">
        <v>889</v>
      </c>
      <c r="C42" s="5" t="s">
        <v>1415</v>
      </c>
      <c r="D42" s="5" t="s">
        <v>1381</v>
      </c>
      <c r="E42" s="5" t="s">
        <v>1411</v>
      </c>
    </row>
    <row r="43" spans="1:5">
      <c r="A43" s="5" t="s">
        <v>945</v>
      </c>
      <c r="B43" s="5" t="s">
        <v>1113</v>
      </c>
      <c r="C43" s="5" t="s">
        <v>1415</v>
      </c>
      <c r="D43" s="5" t="s">
        <v>1383</v>
      </c>
      <c r="E43" s="5" t="s">
        <v>1411</v>
      </c>
    </row>
    <row r="44" spans="1:5">
      <c r="A44" s="5" t="s">
        <v>949</v>
      </c>
      <c r="B44" s="5" t="s">
        <v>833</v>
      </c>
      <c r="C44" s="5" t="s">
        <v>1410</v>
      </c>
      <c r="D44" s="5" t="s">
        <v>1378</v>
      </c>
      <c r="E44" s="5" t="s">
        <v>1409</v>
      </c>
    </row>
    <row r="45" spans="1:5">
      <c r="A45" s="5" t="s">
        <v>953</v>
      </c>
      <c r="B45" s="5" t="s">
        <v>871</v>
      </c>
      <c r="C45" s="5" t="s">
        <v>1407</v>
      </c>
      <c r="D45" s="5" t="s">
        <v>1377</v>
      </c>
      <c r="E45" s="5" t="s">
        <v>1414</v>
      </c>
    </row>
    <row r="46" spans="1:5">
      <c r="A46" s="5" t="s">
        <v>957</v>
      </c>
      <c r="B46" s="5" t="s">
        <v>871</v>
      </c>
      <c r="C46" s="5" t="s">
        <v>1410</v>
      </c>
      <c r="D46" s="5" t="s">
        <v>1380</v>
      </c>
      <c r="E46" s="5" t="s">
        <v>1411</v>
      </c>
    </row>
    <row r="47" spans="1:5">
      <c r="A47" s="5" t="s">
        <v>961</v>
      </c>
      <c r="B47" s="5" t="s">
        <v>1113</v>
      </c>
      <c r="C47" s="5" t="s">
        <v>1403</v>
      </c>
      <c r="D47" s="5" t="s">
        <v>1379</v>
      </c>
      <c r="E47" s="5" t="s">
        <v>1414</v>
      </c>
    </row>
    <row r="48" spans="1:5">
      <c r="A48" s="5" t="s">
        <v>966</v>
      </c>
      <c r="B48" s="5" t="s">
        <v>792</v>
      </c>
      <c r="C48" s="5" t="s">
        <v>1405</v>
      </c>
      <c r="D48" s="5" t="s">
        <v>1380</v>
      </c>
      <c r="E48" s="5" t="s">
        <v>1412</v>
      </c>
    </row>
    <row r="49" spans="1:5">
      <c r="A49" s="5" t="s">
        <v>969</v>
      </c>
      <c r="B49" s="5" t="s">
        <v>871</v>
      </c>
      <c r="C49" s="5" t="s">
        <v>1405</v>
      </c>
      <c r="D49" s="5" t="s">
        <v>1381</v>
      </c>
      <c r="E49" s="5" t="s">
        <v>1411</v>
      </c>
    </row>
    <row r="50" spans="1:5">
      <c r="A50" s="5" t="s">
        <v>973</v>
      </c>
      <c r="B50" s="5" t="s">
        <v>871</v>
      </c>
      <c r="C50" s="5" t="s">
        <v>1403</v>
      </c>
      <c r="D50" s="5" t="s">
        <v>1381</v>
      </c>
      <c r="E50" s="5" t="s">
        <v>1414</v>
      </c>
    </row>
    <row r="51" spans="1:5">
      <c r="A51" s="5" t="s">
        <v>978</v>
      </c>
      <c r="B51" s="5" t="s">
        <v>871</v>
      </c>
      <c r="C51" s="5" t="s">
        <v>1403</v>
      </c>
      <c r="D51" s="5" t="s">
        <v>1377</v>
      </c>
      <c r="E51" s="5" t="s">
        <v>1411</v>
      </c>
    </row>
    <row r="52" spans="1:5">
      <c r="A52" s="5" t="s">
        <v>982</v>
      </c>
      <c r="B52" s="5" t="s">
        <v>833</v>
      </c>
      <c r="C52" s="5" t="s">
        <v>1410</v>
      </c>
      <c r="D52" s="5" t="s">
        <v>1380</v>
      </c>
      <c r="E52" s="5" t="s">
        <v>1406</v>
      </c>
    </row>
    <row r="53" spans="1:5">
      <c r="A53" s="5" t="s">
        <v>986</v>
      </c>
      <c r="B53" s="5" t="s">
        <v>833</v>
      </c>
      <c r="C53" s="5" t="s">
        <v>1410</v>
      </c>
      <c r="D53" s="5" t="s">
        <v>1380</v>
      </c>
      <c r="E53" s="5" t="s">
        <v>1411</v>
      </c>
    </row>
    <row r="54" spans="1:5">
      <c r="A54" s="5" t="s">
        <v>990</v>
      </c>
      <c r="B54" s="5" t="s">
        <v>792</v>
      </c>
      <c r="C54" s="5" t="s">
        <v>1413</v>
      </c>
      <c r="D54" s="5" t="s">
        <v>1379</v>
      </c>
      <c r="E54" s="5" t="s">
        <v>1411</v>
      </c>
    </row>
    <row r="55" spans="1:5">
      <c r="A55" s="5" t="s">
        <v>995</v>
      </c>
      <c r="B55" s="5" t="s">
        <v>1113</v>
      </c>
      <c r="C55" s="5" t="s">
        <v>1407</v>
      </c>
      <c r="D55" s="5" t="s">
        <v>1383</v>
      </c>
      <c r="E55" s="5" t="s">
        <v>1414</v>
      </c>
    </row>
    <row r="56" spans="1:5">
      <c r="A56" s="5" t="s">
        <v>1000</v>
      </c>
      <c r="B56" s="5" t="s">
        <v>871</v>
      </c>
      <c r="C56" s="5" t="s">
        <v>1415</v>
      </c>
      <c r="D56" s="5" t="s">
        <v>1377</v>
      </c>
      <c r="E56" s="5" t="s">
        <v>1412</v>
      </c>
    </row>
    <row r="57" spans="1:5">
      <c r="A57" s="5" t="s">
        <v>1005</v>
      </c>
      <c r="B57" s="5" t="s">
        <v>763</v>
      </c>
      <c r="C57" s="5" t="s">
        <v>1410</v>
      </c>
      <c r="D57" s="5" t="s">
        <v>1383</v>
      </c>
      <c r="E57" s="5" t="s">
        <v>1411</v>
      </c>
    </row>
    <row r="58" spans="1:5">
      <c r="A58" s="5" t="s">
        <v>1009</v>
      </c>
      <c r="B58" s="5" t="s">
        <v>833</v>
      </c>
      <c r="C58" s="5" t="s">
        <v>1415</v>
      </c>
      <c r="D58" s="5" t="s">
        <v>1381</v>
      </c>
      <c r="E58" s="5" t="s">
        <v>1409</v>
      </c>
    </row>
    <row r="59" spans="1:5">
      <c r="A59" s="5" t="s">
        <v>1013</v>
      </c>
      <c r="B59" s="5" t="s">
        <v>792</v>
      </c>
      <c r="C59" s="5" t="s">
        <v>1413</v>
      </c>
      <c r="D59" s="5" t="s">
        <v>1377</v>
      </c>
      <c r="E59" s="5" t="s">
        <v>1409</v>
      </c>
    </row>
    <row r="60" spans="1:5">
      <c r="A60" s="5" t="s">
        <v>1018</v>
      </c>
      <c r="B60" s="5" t="s">
        <v>884</v>
      </c>
      <c r="C60" s="5" t="s">
        <v>1407</v>
      </c>
      <c r="D60" s="5" t="s">
        <v>1384</v>
      </c>
      <c r="E60" s="5" t="s">
        <v>1411</v>
      </c>
    </row>
    <row r="61" spans="1:5">
      <c r="A61" s="5" t="s">
        <v>1022</v>
      </c>
      <c r="B61" s="5" t="s">
        <v>792</v>
      </c>
      <c r="C61" s="5" t="s">
        <v>1413</v>
      </c>
      <c r="D61" s="5" t="s">
        <v>1378</v>
      </c>
      <c r="E61" s="5" t="s">
        <v>1412</v>
      </c>
    </row>
    <row r="62" spans="1:5">
      <c r="A62" s="5" t="s">
        <v>1026</v>
      </c>
      <c r="B62" s="5" t="s">
        <v>889</v>
      </c>
      <c r="C62" s="5" t="s">
        <v>1403</v>
      </c>
      <c r="D62" s="5" t="s">
        <v>1379</v>
      </c>
      <c r="E62" s="5" t="s">
        <v>1412</v>
      </c>
    </row>
    <row r="63" spans="1:5">
      <c r="A63" s="5" t="s">
        <v>1030</v>
      </c>
      <c r="B63" s="5" t="s">
        <v>889</v>
      </c>
      <c r="C63" s="5" t="s">
        <v>1403</v>
      </c>
      <c r="D63" s="5" t="s">
        <v>1380</v>
      </c>
      <c r="E63" s="5" t="s">
        <v>1414</v>
      </c>
    </row>
    <row r="64" spans="1:5">
      <c r="A64" s="5" t="s">
        <v>1035</v>
      </c>
      <c r="B64" s="5" t="s">
        <v>833</v>
      </c>
      <c r="C64" s="5" t="s">
        <v>1413</v>
      </c>
      <c r="D64" s="5" t="s">
        <v>1384</v>
      </c>
      <c r="E64" s="5" t="s">
        <v>1414</v>
      </c>
    </row>
    <row r="65" spans="1:5">
      <c r="A65" s="5" t="s">
        <v>1038</v>
      </c>
      <c r="B65" s="5" t="s">
        <v>763</v>
      </c>
      <c r="C65" s="5" t="s">
        <v>1415</v>
      </c>
      <c r="D65" s="5" t="s">
        <v>1380</v>
      </c>
      <c r="E65" s="5" t="s">
        <v>1406</v>
      </c>
    </row>
    <row r="66" spans="1:5">
      <c r="A66" s="5" t="s">
        <v>1042</v>
      </c>
      <c r="B66" s="5" t="s">
        <v>884</v>
      </c>
      <c r="C66" s="5" t="s">
        <v>1405</v>
      </c>
      <c r="D66" s="5" t="s">
        <v>1381</v>
      </c>
      <c r="E66" s="5" t="s">
        <v>1408</v>
      </c>
    </row>
    <row r="67" spans="1:5">
      <c r="A67" s="5" t="s">
        <v>1046</v>
      </c>
      <c r="B67" s="5" t="s">
        <v>763</v>
      </c>
      <c r="C67" s="5" t="s">
        <v>1410</v>
      </c>
      <c r="D67" s="5" t="s">
        <v>1377</v>
      </c>
      <c r="E67" s="5" t="s">
        <v>1406</v>
      </c>
    </row>
    <row r="68" spans="1:5">
      <c r="A68" s="5" t="s">
        <v>1049</v>
      </c>
      <c r="B68" s="5" t="s">
        <v>833</v>
      </c>
      <c r="C68" s="5" t="s">
        <v>1410</v>
      </c>
      <c r="D68" s="5" t="s">
        <v>1381</v>
      </c>
      <c r="E68" s="5" t="s">
        <v>1408</v>
      </c>
    </row>
    <row r="69" spans="1:5">
      <c r="A69" s="5" t="s">
        <v>1053</v>
      </c>
      <c r="B69" s="5" t="s">
        <v>792</v>
      </c>
      <c r="C69" s="5" t="s">
        <v>1413</v>
      </c>
      <c r="D69" s="5" t="s">
        <v>1380</v>
      </c>
      <c r="E69" s="5" t="s">
        <v>1406</v>
      </c>
    </row>
    <row r="70" spans="1:5">
      <c r="A70" s="5" t="s">
        <v>1057</v>
      </c>
      <c r="B70" s="5" t="s">
        <v>763</v>
      </c>
      <c r="C70" s="5" t="s">
        <v>1410</v>
      </c>
      <c r="D70" s="5" t="s">
        <v>1382</v>
      </c>
      <c r="E70" s="5" t="s">
        <v>1414</v>
      </c>
    </row>
    <row r="71" spans="1:5">
      <c r="A71" s="5" t="s">
        <v>1062</v>
      </c>
      <c r="B71" s="5" t="s">
        <v>884</v>
      </c>
      <c r="C71" s="5" t="s">
        <v>1410</v>
      </c>
      <c r="D71" s="5" t="s">
        <v>1378</v>
      </c>
      <c r="E71" s="5" t="s">
        <v>1409</v>
      </c>
    </row>
    <row r="72" spans="1:5">
      <c r="A72" s="5" t="s">
        <v>1066</v>
      </c>
      <c r="B72" s="5" t="s">
        <v>833</v>
      </c>
      <c r="C72" s="5" t="s">
        <v>1415</v>
      </c>
      <c r="D72" s="5" t="s">
        <v>1384</v>
      </c>
      <c r="E72" s="5" t="s">
        <v>1406</v>
      </c>
    </row>
    <row r="73" spans="1:5">
      <c r="A73" s="5" t="s">
        <v>1070</v>
      </c>
      <c r="B73" s="5" t="s">
        <v>792</v>
      </c>
      <c r="C73" s="5" t="s">
        <v>1413</v>
      </c>
      <c r="D73" s="5" t="s">
        <v>1380</v>
      </c>
      <c r="E73" s="5" t="s">
        <v>1414</v>
      </c>
    </row>
    <row r="74" spans="1:5">
      <c r="A74" s="5" t="s">
        <v>1075</v>
      </c>
      <c r="B74" s="5" t="s">
        <v>889</v>
      </c>
      <c r="C74" s="5" t="s">
        <v>1410</v>
      </c>
      <c r="D74" s="5" t="s">
        <v>1381</v>
      </c>
      <c r="E74" s="5" t="s">
        <v>1411</v>
      </c>
    </row>
    <row r="75" spans="1:5">
      <c r="A75" s="5" t="s">
        <v>1079</v>
      </c>
      <c r="B75" s="5" t="s">
        <v>871</v>
      </c>
      <c r="C75" s="5" t="s">
        <v>1413</v>
      </c>
      <c r="D75" s="5" t="s">
        <v>1380</v>
      </c>
      <c r="E75" s="5" t="s">
        <v>1409</v>
      </c>
    </row>
    <row r="76" spans="1:5">
      <c r="A76" s="5" t="s">
        <v>1083</v>
      </c>
      <c r="B76" s="5" t="s">
        <v>889</v>
      </c>
      <c r="C76" s="5" t="s">
        <v>1413</v>
      </c>
      <c r="D76" s="5" t="s">
        <v>1382</v>
      </c>
      <c r="E76" s="5" t="s">
        <v>1411</v>
      </c>
    </row>
    <row r="77" spans="1:5">
      <c r="A77" s="5" t="s">
        <v>1087</v>
      </c>
      <c r="B77" s="5" t="s">
        <v>1116</v>
      </c>
      <c r="C77" s="5" t="s">
        <v>1413</v>
      </c>
      <c r="D77" s="5" t="s">
        <v>1379</v>
      </c>
      <c r="E77" s="5" t="s">
        <v>1406</v>
      </c>
    </row>
    <row r="78" spans="1:5">
      <c r="A78" s="5" t="s">
        <v>1091</v>
      </c>
      <c r="B78" s="5" t="s">
        <v>763</v>
      </c>
      <c r="C78" s="5" t="s">
        <v>1405</v>
      </c>
      <c r="D78" s="5" t="s">
        <v>1384</v>
      </c>
      <c r="E78" s="5" t="s">
        <v>1414</v>
      </c>
    </row>
    <row r="79" spans="1:5">
      <c r="A79" s="5" t="s">
        <v>1094</v>
      </c>
      <c r="B79" s="5" t="s">
        <v>792</v>
      </c>
      <c r="C79" s="5" t="s">
        <v>1413</v>
      </c>
      <c r="D79" s="5" t="s">
        <v>1379</v>
      </c>
      <c r="E79" s="5" t="s">
        <v>1409</v>
      </c>
    </row>
    <row r="80" spans="1:5">
      <c r="A80" s="5" t="s">
        <v>1098</v>
      </c>
      <c r="B80" s="5" t="s">
        <v>884</v>
      </c>
      <c r="C80" s="5" t="s">
        <v>1410</v>
      </c>
      <c r="D80" s="5" t="s">
        <v>1377</v>
      </c>
      <c r="E80" s="5" t="s">
        <v>1412</v>
      </c>
    </row>
    <row r="81" spans="1:5">
      <c r="A81" s="5" t="s">
        <v>1103</v>
      </c>
      <c r="B81" s="5" t="s">
        <v>763</v>
      </c>
      <c r="C81" s="5" t="s">
        <v>1403</v>
      </c>
      <c r="D81" s="5" t="s">
        <v>1377</v>
      </c>
      <c r="E81" s="5" t="s">
        <v>1411</v>
      </c>
    </row>
    <row r="82" spans="1:5">
      <c r="A82" s="5" t="s">
        <v>1153</v>
      </c>
      <c r="B82" s="5" t="s">
        <v>1116</v>
      </c>
      <c r="C82" s="5" t="s">
        <v>1413</v>
      </c>
      <c r="D82" s="5" t="s">
        <v>1382</v>
      </c>
      <c r="E82" s="5" t="s">
        <v>1411</v>
      </c>
    </row>
    <row r="83" spans="1:5">
      <c r="A83" s="5" t="s">
        <v>1155</v>
      </c>
      <c r="B83" s="5" t="s">
        <v>792</v>
      </c>
      <c r="C83" s="5" t="s">
        <v>1413</v>
      </c>
      <c r="D83" s="5" t="s">
        <v>1379</v>
      </c>
      <c r="E83" s="5" t="s">
        <v>1409</v>
      </c>
    </row>
    <row r="84" spans="1:5">
      <c r="A84" s="5" t="s">
        <v>1157</v>
      </c>
      <c r="B84" s="5" t="s">
        <v>763</v>
      </c>
      <c r="C84" s="5" t="s">
        <v>1403</v>
      </c>
      <c r="D84" s="5" t="s">
        <v>1377</v>
      </c>
      <c r="E84" s="5" t="s">
        <v>1411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3DC8-BE50-4A16-9633-965DE323F830}">
  <dimension ref="A1:E7"/>
  <sheetViews>
    <sheetView workbookViewId="0">
      <selection activeCell="F9" sqref="F9"/>
    </sheetView>
  </sheetViews>
  <sheetFormatPr defaultRowHeight="15"/>
  <cols>
    <col min="1" max="1" width="10.7109375" bestFit="1" customWidth="1"/>
    <col min="2" max="2" width="11" bestFit="1" customWidth="1"/>
    <col min="3" max="3" width="10.5703125" bestFit="1" customWidth="1"/>
    <col min="4" max="4" width="12" bestFit="1" customWidth="1"/>
    <col min="5" max="5" width="13.85546875" bestFit="1" customWidth="1"/>
  </cols>
  <sheetData>
    <row r="1" spans="1:5">
      <c r="A1" s="5" t="s">
        <v>1416</v>
      </c>
      <c r="B1" s="5" t="s">
        <v>1417</v>
      </c>
      <c r="C1" s="5" t="s">
        <v>1418</v>
      </c>
      <c r="D1" s="5" t="s">
        <v>1419</v>
      </c>
      <c r="E1" s="5" t="s">
        <v>1420</v>
      </c>
    </row>
    <row r="2" spans="1:5">
      <c r="A2" s="7">
        <v>0</v>
      </c>
      <c r="B2" s="7">
        <v>24.99</v>
      </c>
      <c r="C2" s="5" t="s">
        <v>1421</v>
      </c>
      <c r="D2" s="5">
        <v>0</v>
      </c>
      <c r="E2" s="5" t="s">
        <v>1162</v>
      </c>
    </row>
    <row r="3" spans="1:5">
      <c r="A3" s="7">
        <v>25</v>
      </c>
      <c r="B3" s="7">
        <v>49.99</v>
      </c>
      <c r="C3" s="5" t="s">
        <v>1422</v>
      </c>
      <c r="D3" s="5">
        <v>5</v>
      </c>
      <c r="E3" s="5" t="s">
        <v>1162</v>
      </c>
    </row>
    <row r="4" spans="1:5">
      <c r="A4" s="7">
        <v>50</v>
      </c>
      <c r="B4" s="7">
        <v>99.99</v>
      </c>
      <c r="C4" s="5" t="s">
        <v>1423</v>
      </c>
      <c r="D4" s="5">
        <v>8</v>
      </c>
      <c r="E4" s="5" t="s">
        <v>1177</v>
      </c>
    </row>
    <row r="5" spans="1:5">
      <c r="A5" s="7">
        <v>100</v>
      </c>
      <c r="B5" s="7">
        <v>199.99</v>
      </c>
      <c r="C5" s="5" t="s">
        <v>1424</v>
      </c>
      <c r="D5" s="5">
        <v>12</v>
      </c>
      <c r="E5" s="5" t="s">
        <v>1177</v>
      </c>
    </row>
    <row r="6" spans="1:5">
      <c r="A6" s="7">
        <v>200</v>
      </c>
      <c r="B6" s="7">
        <v>499.99</v>
      </c>
      <c r="C6" s="5" t="s">
        <v>1425</v>
      </c>
      <c r="D6" s="5">
        <v>15</v>
      </c>
      <c r="E6" s="5" t="s">
        <v>1177</v>
      </c>
    </row>
    <row r="7" spans="1:5">
      <c r="A7" s="7">
        <v>500</v>
      </c>
      <c r="B7" s="7">
        <v>9999</v>
      </c>
      <c r="C7" s="5" t="s">
        <v>1426</v>
      </c>
      <c r="D7" s="5">
        <v>20</v>
      </c>
      <c r="E7" s="5" t="s">
        <v>1177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EA27-AF70-4C7E-83F9-9B6DC9C61D50}">
  <dimension ref="A2:S93"/>
  <sheetViews>
    <sheetView topLeftCell="A58" workbookViewId="0">
      <selection activeCell="C86" sqref="C86"/>
    </sheetView>
  </sheetViews>
  <sheetFormatPr defaultRowHeight="15"/>
  <cols>
    <col min="1" max="1" width="28.28515625" bestFit="1" customWidth="1"/>
    <col min="2" max="2" width="23" bestFit="1" customWidth="1"/>
    <col min="3" max="3" width="33.42578125" bestFit="1" customWidth="1"/>
    <col min="4" max="4" width="9.140625" bestFit="1" customWidth="1"/>
    <col min="5" max="5" width="5.28515625" bestFit="1" customWidth="1"/>
    <col min="6" max="6" width="11.7109375" bestFit="1" customWidth="1"/>
    <col min="7" max="7" width="14.140625" bestFit="1" customWidth="1"/>
    <col min="8" max="8" width="9.28515625" bestFit="1" customWidth="1"/>
    <col min="9" max="9" width="13.42578125" bestFit="1" customWidth="1"/>
    <col min="10" max="10" width="11.7109375" bestFit="1" customWidth="1"/>
    <col min="11" max="11" width="8.28515625" bestFit="1" customWidth="1"/>
    <col min="12" max="12" width="11.7109375" bestFit="1" customWidth="1"/>
    <col min="13" max="13" width="6.140625" bestFit="1" customWidth="1"/>
    <col min="14" max="14" width="7.140625" bestFit="1" customWidth="1"/>
    <col min="15" max="16" width="8.28515625" bestFit="1" customWidth="1"/>
    <col min="17" max="17" width="7.140625" bestFit="1" customWidth="1"/>
    <col min="18" max="19" width="8.28515625" bestFit="1" customWidth="1"/>
    <col min="20" max="20" width="7.140625" bestFit="1" customWidth="1"/>
    <col min="21" max="21" width="13.7109375" bestFit="1" customWidth="1"/>
    <col min="22" max="22" width="12.5703125" bestFit="1" customWidth="1"/>
    <col min="23" max="23" width="6.140625" bestFit="1" customWidth="1"/>
    <col min="24" max="29" width="7.140625" bestFit="1" customWidth="1"/>
    <col min="30" max="30" width="6.140625" bestFit="1" customWidth="1"/>
    <col min="31" max="31" width="16" bestFit="1" customWidth="1"/>
    <col min="32" max="32" width="11.28515625" bestFit="1" customWidth="1"/>
    <col min="33" max="34" width="7.140625" bestFit="1" customWidth="1"/>
    <col min="35" max="35" width="6.140625" bestFit="1" customWidth="1"/>
    <col min="36" max="36" width="8.28515625" bestFit="1" customWidth="1"/>
    <col min="37" max="38" width="7.140625" bestFit="1" customWidth="1"/>
    <col min="39" max="39" width="14.5703125" bestFit="1" customWidth="1"/>
    <col min="40" max="40" width="8.85546875" bestFit="1" customWidth="1"/>
    <col min="41" max="41" width="7.140625" bestFit="1" customWidth="1"/>
    <col min="42" max="43" width="8.28515625" bestFit="1" customWidth="1"/>
    <col min="44" max="44" width="7.140625" bestFit="1" customWidth="1"/>
    <col min="45" max="45" width="8.28515625" bestFit="1" customWidth="1"/>
    <col min="46" max="47" width="7.140625" bestFit="1" customWidth="1"/>
    <col min="48" max="48" width="12.140625" bestFit="1" customWidth="1"/>
    <col min="49" max="49" width="9.7109375" bestFit="1" customWidth="1"/>
    <col min="50" max="51" width="7.140625" bestFit="1" customWidth="1"/>
    <col min="52" max="52" width="6.140625" bestFit="1" customWidth="1"/>
    <col min="53" max="53" width="7.140625" bestFit="1" customWidth="1"/>
    <col min="54" max="56" width="8.28515625" bestFit="1" customWidth="1"/>
    <col min="57" max="57" width="7.140625" bestFit="1" customWidth="1"/>
    <col min="58" max="58" width="12.85546875" bestFit="1" customWidth="1"/>
    <col min="59" max="59" width="13.28515625" bestFit="1" customWidth="1"/>
    <col min="60" max="60" width="7.140625" bestFit="1" customWidth="1"/>
    <col min="61" max="61" width="8.28515625" bestFit="1" customWidth="1"/>
    <col min="62" max="62" width="7.140625" bestFit="1" customWidth="1"/>
    <col min="63" max="64" width="8.28515625" bestFit="1" customWidth="1"/>
    <col min="65" max="65" width="7.140625" bestFit="1" customWidth="1"/>
    <col min="66" max="66" width="6.140625" bestFit="1" customWidth="1"/>
    <col min="67" max="67" width="7.140625" bestFit="1" customWidth="1"/>
    <col min="68" max="68" width="16.42578125" bestFit="1" customWidth="1"/>
    <col min="69" max="69" width="12.28515625" bestFit="1" customWidth="1"/>
    <col min="70" max="70" width="6.140625" bestFit="1" customWidth="1"/>
    <col min="71" max="71" width="7.140625" bestFit="1" customWidth="1"/>
    <col min="72" max="73" width="8.28515625" bestFit="1" customWidth="1"/>
    <col min="74" max="74" width="7.140625" bestFit="1" customWidth="1"/>
    <col min="75" max="76" width="8.28515625" bestFit="1" customWidth="1"/>
    <col min="77" max="77" width="7.140625" bestFit="1" customWidth="1"/>
    <col min="78" max="78" width="15.5703125" bestFit="1" customWidth="1"/>
    <col min="79" max="79" width="11.7109375" bestFit="1" customWidth="1"/>
  </cols>
  <sheetData>
    <row r="2" spans="1:15">
      <c r="A2" s="71" t="s">
        <v>1427</v>
      </c>
      <c r="B2" s="71"/>
      <c r="C2" s="71"/>
      <c r="E2" s="36"/>
      <c r="F2" s="36"/>
      <c r="G2" s="71" t="s">
        <v>1427</v>
      </c>
      <c r="H2" s="71"/>
      <c r="I2" s="71"/>
      <c r="J2" s="71"/>
      <c r="K2" s="71"/>
      <c r="L2" s="71"/>
      <c r="M2" s="71"/>
      <c r="N2" s="71"/>
      <c r="O2" s="71"/>
    </row>
    <row r="3" spans="1:15">
      <c r="A3" s="27" t="s">
        <v>548</v>
      </c>
      <c r="B3" s="27" t="s">
        <v>547</v>
      </c>
      <c r="C3" t="s">
        <v>1428</v>
      </c>
    </row>
    <row r="4" spans="1:15">
      <c r="A4" t="s">
        <v>1429</v>
      </c>
      <c r="B4" t="s">
        <v>1430</v>
      </c>
      <c r="C4" s="28">
        <v>5984.4</v>
      </c>
    </row>
    <row r="5" spans="1:15">
      <c r="B5" t="s">
        <v>552</v>
      </c>
      <c r="C5" s="28">
        <v>2304.3200000000002</v>
      </c>
    </row>
    <row r="6" spans="1:15">
      <c r="B6" t="s">
        <v>1431</v>
      </c>
      <c r="C6" s="28">
        <v>3284.2200000000003</v>
      </c>
    </row>
    <row r="7" spans="1:15">
      <c r="B7" t="s">
        <v>1432</v>
      </c>
      <c r="C7" s="28">
        <v>7853.2100000000009</v>
      </c>
    </row>
    <row r="8" spans="1:15">
      <c r="B8" t="s">
        <v>1369</v>
      </c>
      <c r="C8" s="28">
        <v>6896.56</v>
      </c>
    </row>
    <row r="9" spans="1:15">
      <c r="B9" t="s">
        <v>1433</v>
      </c>
      <c r="C9" s="28">
        <v>5447.48</v>
      </c>
    </row>
    <row r="10" spans="1:15">
      <c r="B10" t="s">
        <v>1434</v>
      </c>
      <c r="C10" s="28">
        <v>5444.4800000000014</v>
      </c>
    </row>
    <row r="11" spans="1:15">
      <c r="B11" t="s">
        <v>1435</v>
      </c>
      <c r="C11" s="28">
        <v>5059.6200000000008</v>
      </c>
    </row>
    <row r="12" spans="1:15">
      <c r="B12" t="s">
        <v>1436</v>
      </c>
      <c r="C12" s="28">
        <v>3933.74</v>
      </c>
    </row>
    <row r="13" spans="1:15">
      <c r="B13" t="s">
        <v>1437</v>
      </c>
      <c r="C13" s="28">
        <v>6405.34</v>
      </c>
    </row>
    <row r="14" spans="1:15">
      <c r="B14" t="s">
        <v>1438</v>
      </c>
      <c r="C14" s="28">
        <v>8004.72</v>
      </c>
    </row>
    <row r="15" spans="1:15">
      <c r="B15" t="s">
        <v>1439</v>
      </c>
      <c r="C15" s="28">
        <v>5664.79</v>
      </c>
    </row>
    <row r="16" spans="1:15">
      <c r="A16" t="s">
        <v>1440</v>
      </c>
      <c r="C16" s="28">
        <v>66282.880000000005</v>
      </c>
    </row>
    <row r="17" spans="1:19">
      <c r="A17" t="s">
        <v>1441</v>
      </c>
      <c r="B17" t="s">
        <v>1430</v>
      </c>
      <c r="C17" s="28">
        <v>6940.93</v>
      </c>
    </row>
    <row r="18" spans="1:19">
      <c r="B18" t="s">
        <v>552</v>
      </c>
      <c r="C18" s="28">
        <v>11189.930000000002</v>
      </c>
    </row>
    <row r="19" spans="1:19">
      <c r="B19" t="s">
        <v>1431</v>
      </c>
      <c r="C19" s="28">
        <v>4903.8099999999995</v>
      </c>
    </row>
    <row r="20" spans="1:19">
      <c r="B20" t="s">
        <v>1432</v>
      </c>
      <c r="C20" s="28">
        <v>5916.21</v>
      </c>
      <c r="K20" s="71" t="s">
        <v>1442</v>
      </c>
      <c r="L20" s="71"/>
      <c r="M20" s="71"/>
      <c r="N20" s="71"/>
      <c r="O20" s="71"/>
      <c r="P20" s="71"/>
      <c r="Q20" s="71"/>
      <c r="R20" s="71"/>
      <c r="S20" s="71"/>
    </row>
    <row r="21" spans="1:19">
      <c r="B21" t="s">
        <v>1369</v>
      </c>
      <c r="C21" s="28">
        <v>9028.619999999999</v>
      </c>
      <c r="L21" s="37"/>
    </row>
    <row r="22" spans="1:19">
      <c r="B22" t="s">
        <v>1433</v>
      </c>
      <c r="C22" s="28">
        <v>9381.3799999999992</v>
      </c>
    </row>
    <row r="23" spans="1:19">
      <c r="A23" t="s">
        <v>1443</v>
      </c>
      <c r="C23" s="28">
        <v>47360.88</v>
      </c>
    </row>
    <row r="24" spans="1:19">
      <c r="A24" t="s">
        <v>1444</v>
      </c>
      <c r="C24" s="28">
        <v>113643.76000000001</v>
      </c>
    </row>
    <row r="27" spans="1:19">
      <c r="A27" s="71" t="s">
        <v>1445</v>
      </c>
      <c r="B27" s="71"/>
      <c r="D27" s="71" t="s">
        <v>1445</v>
      </c>
      <c r="E27" s="71"/>
      <c r="F27" s="71"/>
      <c r="G27" s="71"/>
      <c r="H27" s="71"/>
      <c r="I27" s="71"/>
      <c r="J27" s="36"/>
      <c r="K27" s="36"/>
      <c r="L27" s="36"/>
      <c r="M27" s="36"/>
      <c r="N27" s="36"/>
    </row>
    <row r="28" spans="1:19">
      <c r="A28" s="27" t="s">
        <v>550</v>
      </c>
      <c r="B28" t="s">
        <v>1446</v>
      </c>
    </row>
    <row r="29" spans="1:19">
      <c r="A29" t="s">
        <v>1195</v>
      </c>
      <c r="B29" s="28">
        <v>25</v>
      </c>
    </row>
    <row r="30" spans="1:19">
      <c r="A30" t="s">
        <v>1192</v>
      </c>
      <c r="B30" s="28">
        <v>15</v>
      </c>
    </row>
    <row r="31" spans="1:19">
      <c r="A31" t="s">
        <v>1163</v>
      </c>
      <c r="B31" s="28">
        <v>25</v>
      </c>
    </row>
    <row r="32" spans="1:19">
      <c r="A32" t="s">
        <v>1171</v>
      </c>
      <c r="B32" s="28">
        <v>10</v>
      </c>
    </row>
    <row r="33" spans="1:15">
      <c r="A33" t="s">
        <v>1194</v>
      </c>
      <c r="B33" s="28">
        <v>19</v>
      </c>
    </row>
    <row r="34" spans="1:15">
      <c r="A34" t="s">
        <v>1188</v>
      </c>
      <c r="B34" s="28">
        <v>20</v>
      </c>
    </row>
    <row r="35" spans="1:15">
      <c r="A35" t="s">
        <v>1180</v>
      </c>
      <c r="B35" s="28">
        <v>17</v>
      </c>
    </row>
    <row r="36" spans="1:15">
      <c r="A36" t="s">
        <v>1174</v>
      </c>
      <c r="B36" s="28">
        <v>19</v>
      </c>
    </row>
    <row r="37" spans="1:15">
      <c r="A37" t="s">
        <v>1444</v>
      </c>
      <c r="B37" s="28">
        <v>150</v>
      </c>
    </row>
    <row r="40" spans="1:15">
      <c r="A40" s="71" t="s">
        <v>1447</v>
      </c>
      <c r="B40" s="71"/>
      <c r="D40" s="71" t="s">
        <v>1447</v>
      </c>
      <c r="E40" s="71"/>
      <c r="F40" s="71"/>
      <c r="G40" s="71"/>
      <c r="H40" s="71"/>
      <c r="I40" s="71"/>
      <c r="J40" s="71"/>
      <c r="K40" s="36"/>
      <c r="L40" s="36"/>
      <c r="M40" s="36"/>
      <c r="N40" s="36"/>
      <c r="O40" s="36"/>
    </row>
    <row r="41" spans="1:15">
      <c r="A41" s="27" t="s">
        <v>550</v>
      </c>
      <c r="B41" t="s">
        <v>1428</v>
      </c>
    </row>
    <row r="42" spans="1:15">
      <c r="A42" t="s">
        <v>1195</v>
      </c>
      <c r="B42" s="28">
        <v>17417.32</v>
      </c>
    </row>
    <row r="43" spans="1:15">
      <c r="A43" t="s">
        <v>1192</v>
      </c>
      <c r="B43" s="28">
        <v>9685.41</v>
      </c>
    </row>
    <row r="44" spans="1:15">
      <c r="A44" t="s">
        <v>1163</v>
      </c>
      <c r="B44" s="28">
        <v>11844.410000000002</v>
      </c>
    </row>
    <row r="45" spans="1:15">
      <c r="A45" t="s">
        <v>1171</v>
      </c>
      <c r="B45" s="28">
        <v>8592.59</v>
      </c>
    </row>
    <row r="46" spans="1:15">
      <c r="A46" t="s">
        <v>1194</v>
      </c>
      <c r="B46" s="28">
        <v>11163.560000000003</v>
      </c>
    </row>
    <row r="47" spans="1:15">
      <c r="A47" t="s">
        <v>1188</v>
      </c>
      <c r="B47" s="28">
        <v>18441.09</v>
      </c>
    </row>
    <row r="48" spans="1:15">
      <c r="A48" t="s">
        <v>1180</v>
      </c>
      <c r="B48" s="28">
        <v>13481.539999999999</v>
      </c>
    </row>
    <row r="49" spans="1:15">
      <c r="A49" t="s">
        <v>1174</v>
      </c>
      <c r="B49" s="28">
        <v>23017.84</v>
      </c>
    </row>
    <row r="50" spans="1:15">
      <c r="A50" t="s">
        <v>1444</v>
      </c>
      <c r="B50" s="28">
        <v>113643.76</v>
      </c>
    </row>
    <row r="53" spans="1:15">
      <c r="A53" s="71" t="s">
        <v>1448</v>
      </c>
      <c r="B53" s="71"/>
      <c r="D53" s="71" t="s">
        <v>1448</v>
      </c>
      <c r="E53" s="71"/>
      <c r="F53" s="71"/>
      <c r="G53" s="71"/>
      <c r="H53" s="71"/>
      <c r="I53" s="71"/>
      <c r="J53" s="71"/>
      <c r="K53" s="36"/>
      <c r="L53" s="36"/>
      <c r="M53" s="36"/>
      <c r="N53" s="36"/>
      <c r="O53" s="36"/>
    </row>
    <row r="54" spans="1:15">
      <c r="A54" s="27" t="s">
        <v>1198</v>
      </c>
      <c r="B54" t="s">
        <v>1449</v>
      </c>
    </row>
    <row r="55" spans="1:15">
      <c r="A55" t="s">
        <v>1218</v>
      </c>
      <c r="B55" s="28">
        <v>4</v>
      </c>
    </row>
    <row r="56" spans="1:15">
      <c r="A56" t="s">
        <v>1214</v>
      </c>
      <c r="B56" s="28">
        <v>7</v>
      </c>
    </row>
    <row r="57" spans="1:15">
      <c r="A57" t="s">
        <v>1210</v>
      </c>
      <c r="B57" s="28">
        <v>9</v>
      </c>
    </row>
    <row r="58" spans="1:15">
      <c r="A58" t="s">
        <v>1239</v>
      </c>
      <c r="B58" s="28">
        <v>3</v>
      </c>
    </row>
    <row r="59" spans="1:15">
      <c r="A59" t="s">
        <v>1229</v>
      </c>
      <c r="B59" s="28">
        <v>6</v>
      </c>
    </row>
    <row r="60" spans="1:15">
      <c r="A60" t="s">
        <v>1221</v>
      </c>
      <c r="B60" s="28">
        <v>5</v>
      </c>
    </row>
    <row r="61" spans="1:15">
      <c r="A61" t="s">
        <v>1296</v>
      </c>
      <c r="B61" s="28">
        <v>4</v>
      </c>
    </row>
    <row r="62" spans="1:15">
      <c r="A62" t="s">
        <v>1358</v>
      </c>
      <c r="B62" s="28">
        <v>5</v>
      </c>
    </row>
    <row r="63" spans="1:15">
      <c r="A63" t="s">
        <v>1225</v>
      </c>
      <c r="B63" s="28">
        <v>7</v>
      </c>
    </row>
    <row r="64" spans="1:15">
      <c r="A64" t="s">
        <v>1444</v>
      </c>
      <c r="B64" s="28">
        <v>50</v>
      </c>
    </row>
    <row r="67" spans="1:18">
      <c r="A67" s="71" t="s">
        <v>1450</v>
      </c>
      <c r="B67" s="71"/>
      <c r="C67" s="71"/>
      <c r="D67" s="71"/>
      <c r="E67" s="71"/>
      <c r="F67" s="71"/>
      <c r="H67" s="36"/>
      <c r="I67" s="36"/>
      <c r="J67" s="71" t="s">
        <v>1450</v>
      </c>
      <c r="K67" s="71"/>
      <c r="L67" s="71"/>
      <c r="M67" s="71"/>
      <c r="N67" s="71"/>
      <c r="O67" s="71"/>
      <c r="P67" s="71"/>
      <c r="Q67" s="71"/>
      <c r="R67" s="71"/>
    </row>
    <row r="68" spans="1:18">
      <c r="A68" s="27" t="s">
        <v>1451</v>
      </c>
      <c r="B68" s="27" t="s">
        <v>1108</v>
      </c>
    </row>
    <row r="69" spans="1:18">
      <c r="A69" s="27" t="s">
        <v>755</v>
      </c>
      <c r="B69" t="s">
        <v>1452</v>
      </c>
      <c r="C69" t="s">
        <v>1453</v>
      </c>
      <c r="D69" t="s">
        <v>1454</v>
      </c>
      <c r="E69" t="s">
        <v>1455</v>
      </c>
      <c r="F69" t="s">
        <v>1444</v>
      </c>
    </row>
    <row r="70" spans="1:18">
      <c r="A70" t="s">
        <v>884</v>
      </c>
      <c r="B70" s="28"/>
      <c r="C70" s="28">
        <v>4</v>
      </c>
      <c r="D70" s="28">
        <v>5</v>
      </c>
      <c r="E70" s="28">
        <v>6</v>
      </c>
      <c r="F70" s="28">
        <v>15</v>
      </c>
    </row>
    <row r="71" spans="1:18">
      <c r="A71" t="s">
        <v>763</v>
      </c>
      <c r="B71" s="28">
        <v>2</v>
      </c>
      <c r="C71" s="28"/>
      <c r="D71" s="28">
        <v>3</v>
      </c>
      <c r="E71" s="28">
        <v>5</v>
      </c>
      <c r="F71" s="28">
        <v>10</v>
      </c>
    </row>
    <row r="72" spans="1:18">
      <c r="A72" t="s">
        <v>871</v>
      </c>
      <c r="B72" s="28"/>
      <c r="C72" s="28">
        <v>1</v>
      </c>
      <c r="D72" s="28"/>
      <c r="E72" s="28">
        <v>3</v>
      </c>
      <c r="F72" s="28">
        <v>4</v>
      </c>
    </row>
    <row r="73" spans="1:18">
      <c r="A73" t="s">
        <v>1113</v>
      </c>
      <c r="B73" s="28">
        <v>2</v>
      </c>
      <c r="C73" s="28">
        <v>1</v>
      </c>
      <c r="D73" s="28">
        <v>2</v>
      </c>
      <c r="E73" s="28">
        <v>4</v>
      </c>
      <c r="F73" s="28">
        <v>9</v>
      </c>
    </row>
    <row r="74" spans="1:18">
      <c r="A74" t="s">
        <v>1116</v>
      </c>
      <c r="B74" s="28">
        <v>3</v>
      </c>
      <c r="C74" s="28">
        <v>4</v>
      </c>
      <c r="D74" s="28">
        <v>2</v>
      </c>
      <c r="E74" s="28">
        <v>3</v>
      </c>
      <c r="F74" s="28">
        <v>12</v>
      </c>
    </row>
    <row r="75" spans="1:18">
      <c r="A75" t="s">
        <v>889</v>
      </c>
      <c r="B75" s="28"/>
      <c r="C75" s="28">
        <v>1</v>
      </c>
      <c r="D75" s="28">
        <v>3</v>
      </c>
      <c r="E75" s="28">
        <v>1</v>
      </c>
      <c r="F75" s="28">
        <v>5</v>
      </c>
    </row>
    <row r="76" spans="1:18">
      <c r="A76" t="s">
        <v>1119</v>
      </c>
      <c r="B76" s="28"/>
      <c r="C76" s="28">
        <v>1</v>
      </c>
      <c r="D76" s="28">
        <v>1</v>
      </c>
      <c r="E76" s="28">
        <v>1</v>
      </c>
      <c r="F76" s="28">
        <v>3</v>
      </c>
    </row>
    <row r="77" spans="1:18">
      <c r="A77" t="s">
        <v>792</v>
      </c>
      <c r="B77" s="28">
        <v>3</v>
      </c>
      <c r="C77" s="28">
        <v>3</v>
      </c>
      <c r="D77" s="28">
        <v>6</v>
      </c>
      <c r="E77" s="28">
        <v>1</v>
      </c>
      <c r="F77" s="28">
        <v>13</v>
      </c>
    </row>
    <row r="78" spans="1:18">
      <c r="A78" t="s">
        <v>833</v>
      </c>
      <c r="B78" s="28">
        <v>4</v>
      </c>
      <c r="C78" s="28">
        <v>3</v>
      </c>
      <c r="D78" s="28">
        <v>3</v>
      </c>
      <c r="E78" s="28">
        <v>2</v>
      </c>
      <c r="F78" s="28">
        <v>12</v>
      </c>
    </row>
    <row r="79" spans="1:18">
      <c r="A79" t="s">
        <v>1444</v>
      </c>
      <c r="B79" s="28">
        <v>14</v>
      </c>
      <c r="C79" s="28">
        <v>18</v>
      </c>
      <c r="D79" s="28">
        <v>25</v>
      </c>
      <c r="E79" s="28">
        <v>26</v>
      </c>
      <c r="F79" s="28">
        <v>83</v>
      </c>
    </row>
    <row r="82" spans="1:15">
      <c r="A82" s="71" t="s">
        <v>1456</v>
      </c>
      <c r="B82" s="71"/>
      <c r="D82" s="71" t="s">
        <v>1456</v>
      </c>
      <c r="E82" s="71"/>
      <c r="F82" s="71"/>
      <c r="G82" s="71"/>
      <c r="H82" s="71"/>
      <c r="I82" s="71"/>
      <c r="J82" s="71"/>
      <c r="K82" s="36"/>
      <c r="L82" s="36"/>
      <c r="M82" s="36"/>
      <c r="N82" s="36"/>
      <c r="O82" s="36"/>
    </row>
    <row r="83" spans="1:15">
      <c r="A83" s="27" t="s">
        <v>755</v>
      </c>
      <c r="B83" t="s">
        <v>1457</v>
      </c>
    </row>
    <row r="84" spans="1:15">
      <c r="A84" t="s">
        <v>884</v>
      </c>
      <c r="B84" s="35">
        <v>57031.6</v>
      </c>
    </row>
    <row r="85" spans="1:15">
      <c r="A85" t="s">
        <v>763</v>
      </c>
      <c r="B85" s="35">
        <v>52001.7</v>
      </c>
    </row>
    <row r="86" spans="1:15">
      <c r="A86" t="s">
        <v>871</v>
      </c>
      <c r="B86" s="35">
        <v>54942.5</v>
      </c>
    </row>
    <row r="87" spans="1:15">
      <c r="A87" t="s">
        <v>1113</v>
      </c>
      <c r="B87" s="35">
        <v>50605.222222222219</v>
      </c>
    </row>
    <row r="88" spans="1:15">
      <c r="A88" t="s">
        <v>1116</v>
      </c>
      <c r="B88" s="35">
        <v>50322.166666666664</v>
      </c>
    </row>
    <row r="89" spans="1:15">
      <c r="A89" t="s">
        <v>889</v>
      </c>
      <c r="B89" s="35">
        <v>48538.2</v>
      </c>
    </row>
    <row r="90" spans="1:15">
      <c r="A90" t="s">
        <v>1119</v>
      </c>
      <c r="B90" s="35">
        <v>58648.666666666664</v>
      </c>
    </row>
    <row r="91" spans="1:15">
      <c r="A91" t="s">
        <v>792</v>
      </c>
      <c r="B91" s="35">
        <v>53584.5</v>
      </c>
    </row>
    <row r="92" spans="1:15">
      <c r="A92" t="s">
        <v>833</v>
      </c>
      <c r="B92" s="35">
        <v>52157.916666666664</v>
      </c>
    </row>
    <row r="93" spans="1:15">
      <c r="A93" t="s">
        <v>1444</v>
      </c>
      <c r="B93" s="35">
        <v>52952.682926829271</v>
      </c>
    </row>
  </sheetData>
  <mergeCells count="13">
    <mergeCell ref="D82:J82"/>
    <mergeCell ref="K20:S20"/>
    <mergeCell ref="G2:O2"/>
    <mergeCell ref="A82:B82"/>
    <mergeCell ref="A67:F67"/>
    <mergeCell ref="A2:C2"/>
    <mergeCell ref="A27:B27"/>
    <mergeCell ref="A40:B40"/>
    <mergeCell ref="A53:B53"/>
    <mergeCell ref="D27:I27"/>
    <mergeCell ref="D40:J40"/>
    <mergeCell ref="D53:J53"/>
    <mergeCell ref="J67:R67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1EA9-210C-4500-85D4-8CDB790EB2D9}">
  <dimension ref="A1:AF58"/>
  <sheetViews>
    <sheetView showGridLines="0" tabSelected="1" workbookViewId="0">
      <selection activeCell="AJ41" sqref="AJ41"/>
    </sheetView>
  </sheetViews>
  <sheetFormatPr defaultRowHeight="15"/>
  <sheetData>
    <row r="1" spans="1:29">
      <c r="A1" s="54" t="s">
        <v>1458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6"/>
    </row>
    <row r="2" spans="1:29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9"/>
    </row>
    <row r="3" spans="1:29">
      <c r="A3" s="57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9"/>
    </row>
    <row r="4" spans="1:29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</row>
    <row r="5" spans="1:29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9"/>
    </row>
    <row r="6" spans="1:29">
      <c r="A6" s="57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9"/>
    </row>
    <row r="7" spans="1:29">
      <c r="A7" s="57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9"/>
    </row>
    <row r="8" spans="1:29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9"/>
    </row>
    <row r="9" spans="1:29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9"/>
    </row>
    <row r="10" spans="1:29">
      <c r="A10" s="3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39"/>
    </row>
    <row r="11" spans="1:29">
      <c r="A11" s="38"/>
      <c r="B11" s="60" t="s">
        <v>1459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2"/>
      <c r="O11" s="18"/>
      <c r="P11" s="60" t="s">
        <v>1460</v>
      </c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2"/>
      <c r="AC11" s="39"/>
    </row>
    <row r="12" spans="1:29">
      <c r="A12" s="38"/>
      <c r="B12" s="63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5"/>
      <c r="O12" s="18"/>
      <c r="P12" s="63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5"/>
      <c r="AC12" s="39"/>
    </row>
    <row r="13" spans="1:29">
      <c r="A13" s="38"/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5"/>
      <c r="O13" s="18"/>
      <c r="P13" s="66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8"/>
      <c r="AC13" s="39"/>
    </row>
    <row r="14" spans="1:29">
      <c r="A14" s="38"/>
      <c r="B14" s="48">
        <f>COUNT(Orders_Clean!D2:D154)</f>
        <v>150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50"/>
      <c r="O14" s="18"/>
      <c r="P14" s="51">
        <f>SUM(Orders_Clean!N2:N154)</f>
        <v>113643.75999999997</v>
      </c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3"/>
      <c r="AC14" s="39"/>
    </row>
    <row r="15" spans="1:29">
      <c r="A15" s="3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39"/>
    </row>
    <row r="16" spans="1:29">
      <c r="A16" s="3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39"/>
    </row>
    <row r="17" spans="1:32">
      <c r="A17" s="43" t="s">
        <v>1427</v>
      </c>
      <c r="B17" s="44"/>
      <c r="C17" s="44"/>
      <c r="D17" s="44"/>
      <c r="E17" s="44"/>
      <c r="F17" s="44"/>
      <c r="G17" s="44"/>
      <c r="H17" s="44"/>
      <c r="I17" s="45"/>
      <c r="J17" s="18"/>
      <c r="K17" s="46" t="s">
        <v>1447</v>
      </c>
      <c r="L17" s="44"/>
      <c r="M17" s="44"/>
      <c r="N17" s="44"/>
      <c r="O17" s="44"/>
      <c r="P17" s="44"/>
      <c r="Q17" s="44"/>
      <c r="R17" s="44"/>
      <c r="S17" s="45"/>
      <c r="T17" s="18"/>
      <c r="U17" s="46" t="s">
        <v>1445</v>
      </c>
      <c r="V17" s="44"/>
      <c r="W17" s="44"/>
      <c r="X17" s="44"/>
      <c r="Y17" s="44"/>
      <c r="Z17" s="44"/>
      <c r="AA17" s="44"/>
      <c r="AB17" s="44"/>
      <c r="AC17" s="47"/>
    </row>
    <row r="18" spans="1:32">
      <c r="A18" s="3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39"/>
      <c r="AF18" s="37"/>
    </row>
    <row r="19" spans="1:32">
      <c r="A19" s="3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39"/>
    </row>
    <row r="20" spans="1:32">
      <c r="A20" s="3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39"/>
    </row>
    <row r="21" spans="1:32">
      <c r="A21" s="3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39"/>
    </row>
    <row r="22" spans="1:32">
      <c r="A22" s="3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39"/>
    </row>
    <row r="23" spans="1:32">
      <c r="A23" s="3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39"/>
    </row>
    <row r="24" spans="1:32">
      <c r="A24" s="3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39"/>
    </row>
    <row r="25" spans="1:32">
      <c r="A25" s="3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39"/>
    </row>
    <row r="26" spans="1:32">
      <c r="A26" s="3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39"/>
    </row>
    <row r="27" spans="1:32">
      <c r="A27" s="3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39"/>
    </row>
    <row r="28" spans="1:32">
      <c r="A28" s="3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39"/>
    </row>
    <row r="29" spans="1:32">
      <c r="A29" s="3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39"/>
    </row>
    <row r="30" spans="1:32">
      <c r="A30" s="3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39"/>
    </row>
    <row r="31" spans="1:32">
      <c r="A31" s="3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39"/>
    </row>
    <row r="32" spans="1:32">
      <c r="A32" s="3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39"/>
    </row>
    <row r="33" spans="1:29">
      <c r="A33" s="3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39"/>
    </row>
    <row r="34" spans="1:29">
      <c r="A34" s="3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39"/>
    </row>
    <row r="35" spans="1:29">
      <c r="A35" s="3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39"/>
    </row>
    <row r="36" spans="1:29">
      <c r="A36" s="38"/>
      <c r="B36" s="60" t="s">
        <v>1461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2"/>
      <c r="O36" s="18"/>
      <c r="P36" s="60" t="s">
        <v>1462</v>
      </c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2"/>
      <c r="AC36" s="39"/>
    </row>
    <row r="37" spans="1:29">
      <c r="A37" s="38"/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5"/>
      <c r="O37" s="18"/>
      <c r="P37" s="63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5"/>
      <c r="AC37" s="39"/>
    </row>
    <row r="38" spans="1:29">
      <c r="A38" s="38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8"/>
      <c r="O38" s="18"/>
      <c r="P38" s="66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8"/>
      <c r="AC38" s="39"/>
    </row>
    <row r="39" spans="1:29">
      <c r="A39" s="38"/>
      <c r="B39" s="48">
        <f>COUNTA(Employees_Clean!A2:A81)</f>
        <v>80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50"/>
      <c r="O39" s="18"/>
      <c r="P39" s="48" t="str">
        <f>_xlfn.XLOOKUP(MIN(Employees_Clean!F2:F81),Employees_Clean!F2:F81,Employees_Clean!C2:C81)</f>
        <v>IT</v>
      </c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50"/>
      <c r="AC39" s="39"/>
    </row>
    <row r="40" spans="1:29">
      <c r="A40" s="3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39"/>
    </row>
    <row r="41" spans="1:29">
      <c r="A41" s="3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39"/>
    </row>
    <row r="42" spans="1:29">
      <c r="A42" s="43" t="s">
        <v>1456</v>
      </c>
      <c r="B42" s="44"/>
      <c r="C42" s="44"/>
      <c r="D42" s="44"/>
      <c r="E42" s="44"/>
      <c r="F42" s="44"/>
      <c r="G42" s="44"/>
      <c r="H42" s="44"/>
      <c r="I42" s="45"/>
      <c r="J42" s="18"/>
      <c r="K42" s="46" t="s">
        <v>1442</v>
      </c>
      <c r="L42" s="44"/>
      <c r="M42" s="44"/>
      <c r="N42" s="44"/>
      <c r="O42" s="44"/>
      <c r="P42" s="44"/>
      <c r="Q42" s="44"/>
      <c r="R42" s="44"/>
      <c r="S42" s="45"/>
      <c r="T42" s="18"/>
      <c r="U42" s="46" t="s">
        <v>1450</v>
      </c>
      <c r="V42" s="44"/>
      <c r="W42" s="44"/>
      <c r="X42" s="44"/>
      <c r="Y42" s="44"/>
      <c r="Z42" s="44"/>
      <c r="AA42" s="44"/>
      <c r="AB42" s="44"/>
      <c r="AC42" s="47"/>
    </row>
    <row r="43" spans="1:29">
      <c r="A43" s="3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39"/>
    </row>
    <row r="44" spans="1:29">
      <c r="A44" s="3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39"/>
    </row>
    <row r="45" spans="1:29">
      <c r="A45" s="3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39"/>
    </row>
    <row r="46" spans="1:29">
      <c r="A46" s="3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39"/>
    </row>
    <row r="47" spans="1:29">
      <c r="A47" s="3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39"/>
    </row>
    <row r="48" spans="1:29">
      <c r="A48" s="3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39"/>
    </row>
    <row r="49" spans="1:29">
      <c r="A49" s="3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39"/>
    </row>
    <row r="50" spans="1:29">
      <c r="A50" s="3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39"/>
    </row>
    <row r="51" spans="1:29">
      <c r="A51" s="3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39"/>
    </row>
    <row r="52" spans="1:29">
      <c r="A52" s="3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39"/>
    </row>
    <row r="53" spans="1:29">
      <c r="A53" s="3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39"/>
    </row>
    <row r="54" spans="1:29">
      <c r="A54" s="3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39"/>
    </row>
    <row r="55" spans="1:29">
      <c r="A55" s="3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39"/>
    </row>
    <row r="56" spans="1:29">
      <c r="A56" s="3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39"/>
    </row>
    <row r="57" spans="1:29">
      <c r="A57" s="3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39"/>
    </row>
    <row r="58" spans="1:29">
      <c r="A58" s="40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2"/>
    </row>
  </sheetData>
  <mergeCells count="15">
    <mergeCell ref="A1:AC9"/>
    <mergeCell ref="B11:N13"/>
    <mergeCell ref="P11:AB13"/>
    <mergeCell ref="A17:I17"/>
    <mergeCell ref="K17:S17"/>
    <mergeCell ref="U17:AC17"/>
    <mergeCell ref="A42:I42"/>
    <mergeCell ref="K42:S42"/>
    <mergeCell ref="U42:AC42"/>
    <mergeCell ref="B14:N14"/>
    <mergeCell ref="P14:AB14"/>
    <mergeCell ref="B39:N39"/>
    <mergeCell ref="P39:AB39"/>
    <mergeCell ref="B36:N38"/>
    <mergeCell ref="P36:AB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 A</cp:lastModifiedBy>
  <cp:revision/>
  <dcterms:created xsi:type="dcterms:W3CDTF">2026-08-24T02:38:10Z</dcterms:created>
  <dcterms:modified xsi:type="dcterms:W3CDTF">2026-09-06T18:44:14Z</dcterms:modified>
  <cp:category/>
  <cp:contentStatus/>
</cp:coreProperties>
</file>